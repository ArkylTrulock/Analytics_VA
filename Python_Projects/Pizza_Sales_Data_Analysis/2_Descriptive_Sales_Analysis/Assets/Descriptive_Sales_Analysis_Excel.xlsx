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ailb\Data Science\GH_Projects\Python_Projects\Pizza_Sales_Data_Analysis\2_Descriptive_Sales_Analysis\Assets\"/>
    </mc:Choice>
  </mc:AlternateContent>
  <xr:revisionPtr revIDLastSave="0" documentId="8_{E002949E-6359-42C0-B0E5-9062FBE1B81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op 10 Pizza IDs (T S)" sheetId="1" r:id="rId1"/>
    <sheet name="Top 10 Pizza IDs (C)" sheetId="2" r:id="rId2"/>
    <sheet name="Bottom 10 Pizza IDs (T S)" sheetId="3" r:id="rId3"/>
    <sheet name="Bottom 10 Pizza IDs (C)" sheetId="4" r:id="rId4"/>
    <sheet name="Top 10 Pizza Type IDs (T S)" sheetId="5" r:id="rId5"/>
    <sheet name="Top 10 Pizza Type IDs (C)" sheetId="6" r:id="rId6"/>
    <sheet name="Bottom 10 Pizza Type IDs (T S)" sheetId="7" r:id="rId7"/>
    <sheet name="Bottom 10 Pizza Type IDs (C)" sheetId="8" r:id="rId8"/>
    <sheet name="Top 10 Names (T S)" sheetId="9" r:id="rId9"/>
    <sheet name="Top 10 Names (C)" sheetId="10" r:id="rId10"/>
    <sheet name="Bottom 10 Names (T S)" sheetId="11" r:id="rId11"/>
    <sheet name="Bottom 10 Names (C)" sheetId="12" r:id="rId12"/>
    <sheet name="Top Categories (T S)" sheetId="13" r:id="rId13"/>
    <sheet name="Top Sizes (T S)" sheetId="14" r:id="rId14"/>
    <sheet name="Top Days" sheetId="15" r:id="rId15"/>
    <sheet name="Top Months" sheetId="16" r:id="rId16"/>
    <sheet name="Top Quarters" sheetId="17" r:id="rId17"/>
    <sheet name="Top Quarter Labels" sheetId="18" r:id="rId18"/>
    <sheet name="Top Years" sheetId="19" r:id="rId19"/>
  </sheets>
  <definedNames>
    <definedName name="_xlnm._FilterDatabase" localSheetId="11" hidden="1">'Bottom 10 Names (C)'!$A$3:$M$13</definedName>
    <definedName name="_xlnm._FilterDatabase" localSheetId="10" hidden="1">'Bottom 10 Names (T S)'!$A$3:$M$13</definedName>
    <definedName name="_xlnm._FilterDatabase" localSheetId="3" hidden="1">'Bottom 10 Pizza IDs (C)'!$A$3:$M$13</definedName>
    <definedName name="_xlnm._FilterDatabase" localSheetId="2" hidden="1">'Bottom 10 Pizza IDs (T S)'!$A$3:$M$13</definedName>
    <definedName name="_xlnm._FilterDatabase" localSheetId="7" hidden="1">'Bottom 10 Pizza Type IDs (C)'!$A$3:$M$13</definedName>
    <definedName name="_xlnm._FilterDatabase" localSheetId="6" hidden="1">'Bottom 10 Pizza Type IDs (T S)'!$A$3:$M$13</definedName>
    <definedName name="_xlnm._FilterDatabase" localSheetId="9" hidden="1">'Top 10 Names (C)'!$A$3:$M$13</definedName>
    <definedName name="_xlnm._FilterDatabase" localSheetId="8" hidden="1">'Top 10 Names (T S)'!$A$3:$M$13</definedName>
    <definedName name="_xlnm._FilterDatabase" localSheetId="1" hidden="1">'Top 10 Pizza IDs (C)'!$A$3:$M$13</definedName>
    <definedName name="_xlnm._FilterDatabase" localSheetId="0" hidden="1">'Top 10 Pizza IDs (T S)'!$A$3:$M$13</definedName>
    <definedName name="_xlnm._FilterDatabase" localSheetId="5" hidden="1">'Top 10 Pizza Type IDs (C)'!$A$3:$M$13</definedName>
    <definedName name="_xlnm._FilterDatabase" localSheetId="4" hidden="1">'Top 10 Pizza Type IDs (T S)'!$A$3:$M$13</definedName>
    <definedName name="_xlnm._FilterDatabase" localSheetId="12" hidden="1">'Top Categories (T S)'!$A$3:$M$7</definedName>
    <definedName name="_xlnm._FilterDatabase" localSheetId="14" hidden="1">'Top Days'!$A$3:$M$10</definedName>
    <definedName name="_xlnm._FilterDatabase" localSheetId="15" hidden="1">'Top Months'!$A$3:$M$15</definedName>
    <definedName name="_xlnm._FilterDatabase" localSheetId="17" hidden="1">'Top Quarter Labels'!$A$3:$M$7</definedName>
    <definedName name="_xlnm._FilterDatabase" localSheetId="16" hidden="1">'Top Quarters'!$A$3:$M$7</definedName>
    <definedName name="_xlnm._FilterDatabase" localSheetId="13" hidden="1">'Top Sizes (T S)'!$A$3:$M$8</definedName>
    <definedName name="_xlnm._FilterDatabase" localSheetId="18" hidden="1">'Top Years'!$A$3:$M$4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9" l="1"/>
  <c r="L5" i="19"/>
  <c r="K5" i="19"/>
  <c r="I5" i="19"/>
  <c r="H5" i="19"/>
  <c r="G5" i="19"/>
  <c r="E5" i="19"/>
  <c r="C5" i="19"/>
  <c r="M4" i="19"/>
  <c r="L4" i="19"/>
  <c r="G4" i="19"/>
  <c r="F4" i="19"/>
  <c r="F5" i="19" s="1"/>
  <c r="K8" i="18"/>
  <c r="I8" i="18"/>
  <c r="H8" i="18"/>
  <c r="G8" i="18"/>
  <c r="E8" i="18"/>
  <c r="C8" i="18"/>
  <c r="M7" i="18"/>
  <c r="L7" i="18"/>
  <c r="G7" i="18"/>
  <c r="F7" i="18"/>
  <c r="M6" i="18"/>
  <c r="L6" i="18"/>
  <c r="G6" i="18"/>
  <c r="F6" i="18"/>
  <c r="M5" i="18"/>
  <c r="L5" i="18"/>
  <c r="G5" i="18"/>
  <c r="F5" i="18"/>
  <c r="M4" i="18"/>
  <c r="M8" i="18" s="1"/>
  <c r="L4" i="18"/>
  <c r="L8" i="18" s="1"/>
  <c r="G4" i="18"/>
  <c r="F4" i="18"/>
  <c r="F8" i="18" s="1"/>
  <c r="K8" i="17"/>
  <c r="I8" i="17"/>
  <c r="H8" i="17"/>
  <c r="G8" i="17"/>
  <c r="E8" i="17"/>
  <c r="C8" i="17"/>
  <c r="M7" i="17"/>
  <c r="L7" i="17"/>
  <c r="G7" i="17"/>
  <c r="F7" i="17"/>
  <c r="F8" i="17" s="1"/>
  <c r="M6" i="17"/>
  <c r="L6" i="17"/>
  <c r="G6" i="17"/>
  <c r="F6" i="17"/>
  <c r="M5" i="17"/>
  <c r="L5" i="17"/>
  <c r="G5" i="17"/>
  <c r="F5" i="17"/>
  <c r="M4" i="17"/>
  <c r="M8" i="17" s="1"/>
  <c r="L4" i="17"/>
  <c r="L8" i="17" s="1"/>
  <c r="G4" i="17"/>
  <c r="F4" i="17"/>
  <c r="K16" i="16"/>
  <c r="I16" i="16"/>
  <c r="H16" i="16"/>
  <c r="E16" i="16"/>
  <c r="C16" i="16"/>
  <c r="M15" i="16"/>
  <c r="L15" i="16"/>
  <c r="G15" i="16"/>
  <c r="F15" i="16"/>
  <c r="M14" i="16"/>
  <c r="L14" i="16"/>
  <c r="G14" i="16"/>
  <c r="F14" i="16"/>
  <c r="M13" i="16"/>
  <c r="L13" i="16"/>
  <c r="G13" i="16"/>
  <c r="F13" i="16"/>
  <c r="M12" i="16"/>
  <c r="L12" i="16"/>
  <c r="G12" i="16"/>
  <c r="F12" i="16"/>
  <c r="M11" i="16"/>
  <c r="L11" i="16"/>
  <c r="G11" i="16"/>
  <c r="F11" i="16"/>
  <c r="M10" i="16"/>
  <c r="L10" i="16"/>
  <c r="G10" i="16"/>
  <c r="F10" i="16"/>
  <c r="M9" i="16"/>
  <c r="L9" i="16"/>
  <c r="G9" i="16"/>
  <c r="F9" i="16"/>
  <c r="M8" i="16"/>
  <c r="L8" i="16"/>
  <c r="G8" i="16"/>
  <c r="F8" i="16"/>
  <c r="M7" i="16"/>
  <c r="L7" i="16"/>
  <c r="G7" i="16"/>
  <c r="F7" i="16"/>
  <c r="F16" i="16" s="1"/>
  <c r="M6" i="16"/>
  <c r="L6" i="16"/>
  <c r="G6" i="16"/>
  <c r="F6" i="16"/>
  <c r="M5" i="16"/>
  <c r="L5" i="16"/>
  <c r="G5" i="16"/>
  <c r="F5" i="16"/>
  <c r="M4" i="16"/>
  <c r="M16" i="16" s="1"/>
  <c r="L4" i="16"/>
  <c r="L16" i="16" s="1"/>
  <c r="G4" i="16"/>
  <c r="G16" i="16" s="1"/>
  <c r="F4" i="16"/>
  <c r="K11" i="15"/>
  <c r="I11" i="15"/>
  <c r="H11" i="15"/>
  <c r="E11" i="15"/>
  <c r="C11" i="15"/>
  <c r="M10" i="15"/>
  <c r="L10" i="15"/>
  <c r="G10" i="15"/>
  <c r="F10" i="15"/>
  <c r="M9" i="15"/>
  <c r="L9" i="15"/>
  <c r="G9" i="15"/>
  <c r="F9" i="15"/>
  <c r="M8" i="15"/>
  <c r="L8" i="15"/>
  <c r="G8" i="15"/>
  <c r="F8" i="15"/>
  <c r="M7" i="15"/>
  <c r="L7" i="15"/>
  <c r="G7" i="15"/>
  <c r="F7" i="15"/>
  <c r="M6" i="15"/>
  <c r="L6" i="15"/>
  <c r="G6" i="15"/>
  <c r="F6" i="15"/>
  <c r="M5" i="15"/>
  <c r="L5" i="15"/>
  <c r="G5" i="15"/>
  <c r="F5" i="15"/>
  <c r="M4" i="15"/>
  <c r="M11" i="15" s="1"/>
  <c r="L4" i="15"/>
  <c r="L11" i="15" s="1"/>
  <c r="G4" i="15"/>
  <c r="G11" i="15" s="1"/>
  <c r="F4" i="15"/>
  <c r="F11" i="15" s="1"/>
  <c r="K9" i="14"/>
  <c r="I9" i="14"/>
  <c r="H9" i="14"/>
  <c r="E9" i="14"/>
  <c r="C9" i="14"/>
  <c r="M8" i="14"/>
  <c r="L8" i="14"/>
  <c r="G8" i="14"/>
  <c r="F8" i="14"/>
  <c r="M7" i="14"/>
  <c r="L7" i="14"/>
  <c r="G7" i="14"/>
  <c r="G9" i="14" s="1"/>
  <c r="F7" i="14"/>
  <c r="M6" i="14"/>
  <c r="L6" i="14"/>
  <c r="G6" i="14"/>
  <c r="F6" i="14"/>
  <c r="M5" i="14"/>
  <c r="L5" i="14"/>
  <c r="G5" i="14"/>
  <c r="F5" i="14"/>
  <c r="M4" i="14"/>
  <c r="M9" i="14" s="1"/>
  <c r="L4" i="14"/>
  <c r="L9" i="14" s="1"/>
  <c r="G4" i="14"/>
  <c r="F4" i="14"/>
  <c r="F9" i="14" s="1"/>
  <c r="L8" i="13"/>
  <c r="K8" i="13"/>
  <c r="I8" i="13"/>
  <c r="H8" i="13"/>
  <c r="E8" i="13"/>
  <c r="C8" i="13"/>
  <c r="M7" i="13"/>
  <c r="L7" i="13"/>
  <c r="G7" i="13"/>
  <c r="F7" i="13"/>
  <c r="M6" i="13"/>
  <c r="L6" i="13"/>
  <c r="G6" i="13"/>
  <c r="F6" i="13"/>
  <c r="M5" i="13"/>
  <c r="M8" i="13" s="1"/>
  <c r="L5" i="13"/>
  <c r="G5" i="13"/>
  <c r="F5" i="13"/>
  <c r="M4" i="13"/>
  <c r="L4" i="13"/>
  <c r="G4" i="13"/>
  <c r="G8" i="13" s="1"/>
  <c r="F4" i="13"/>
  <c r="F8" i="13" s="1"/>
  <c r="K14" i="12"/>
  <c r="I14" i="12"/>
  <c r="H14" i="12"/>
  <c r="E14" i="12"/>
  <c r="C14" i="12"/>
  <c r="M13" i="12"/>
  <c r="L13" i="12"/>
  <c r="G13" i="12"/>
  <c r="F13" i="12"/>
  <c r="M12" i="12"/>
  <c r="L12" i="12"/>
  <c r="G12" i="12"/>
  <c r="F12" i="12"/>
  <c r="M11" i="12"/>
  <c r="L11" i="12"/>
  <c r="G11" i="12"/>
  <c r="F11" i="12"/>
  <c r="M10" i="12"/>
  <c r="L10" i="12"/>
  <c r="G10" i="12"/>
  <c r="F10" i="12"/>
  <c r="M9" i="12"/>
  <c r="L9" i="12"/>
  <c r="G9" i="12"/>
  <c r="F9" i="12"/>
  <c r="M8" i="12"/>
  <c r="L8" i="12"/>
  <c r="G8" i="12"/>
  <c r="F8" i="12"/>
  <c r="M7" i="12"/>
  <c r="L7" i="12"/>
  <c r="G7" i="12"/>
  <c r="F7" i="12"/>
  <c r="M6" i="12"/>
  <c r="L6" i="12"/>
  <c r="G6" i="12"/>
  <c r="F6" i="12"/>
  <c r="F14" i="12" s="1"/>
  <c r="M5" i="12"/>
  <c r="L5" i="12"/>
  <c r="G5" i="12"/>
  <c r="F5" i="12"/>
  <c r="M4" i="12"/>
  <c r="M14" i="12" s="1"/>
  <c r="L4" i="12"/>
  <c r="L14" i="12" s="1"/>
  <c r="G4" i="12"/>
  <c r="G14" i="12" s="1"/>
  <c r="F4" i="12"/>
  <c r="K14" i="11"/>
  <c r="I14" i="11"/>
  <c r="H14" i="11"/>
  <c r="E14" i="11"/>
  <c r="C14" i="11"/>
  <c r="M13" i="11"/>
  <c r="L13" i="11"/>
  <c r="G13" i="11"/>
  <c r="F13" i="11"/>
  <c r="M12" i="11"/>
  <c r="L12" i="11"/>
  <c r="G12" i="11"/>
  <c r="F12" i="11"/>
  <c r="M11" i="11"/>
  <c r="L11" i="11"/>
  <c r="G11" i="11"/>
  <c r="F11" i="11"/>
  <c r="M10" i="11"/>
  <c r="L10" i="11"/>
  <c r="G10" i="11"/>
  <c r="F10" i="11"/>
  <c r="M9" i="11"/>
  <c r="L9" i="11"/>
  <c r="G9" i="11"/>
  <c r="F9" i="11"/>
  <c r="M8" i="11"/>
  <c r="L8" i="11"/>
  <c r="G8" i="11"/>
  <c r="F8" i="11"/>
  <c r="M7" i="11"/>
  <c r="L7" i="11"/>
  <c r="G7" i="11"/>
  <c r="F7" i="11"/>
  <c r="M6" i="11"/>
  <c r="L6" i="11"/>
  <c r="G6" i="11"/>
  <c r="G14" i="11" s="1"/>
  <c r="F6" i="11"/>
  <c r="F14" i="11" s="1"/>
  <c r="M5" i="11"/>
  <c r="L5" i="11"/>
  <c r="G5" i="11"/>
  <c r="F5" i="11"/>
  <c r="M4" i="11"/>
  <c r="M14" i="11" s="1"/>
  <c r="L4" i="11"/>
  <c r="L14" i="11" s="1"/>
  <c r="G4" i="11"/>
  <c r="F4" i="11"/>
  <c r="K14" i="10"/>
  <c r="I14" i="10"/>
  <c r="H14" i="10"/>
  <c r="E14" i="10"/>
  <c r="C14" i="10"/>
  <c r="M13" i="10"/>
  <c r="L13" i="10"/>
  <c r="G13" i="10"/>
  <c r="F13" i="10"/>
  <c r="M12" i="10"/>
  <c r="L12" i="10"/>
  <c r="G12" i="10"/>
  <c r="F12" i="10"/>
  <c r="M11" i="10"/>
  <c r="L11" i="10"/>
  <c r="G11" i="10"/>
  <c r="F11" i="10"/>
  <c r="M10" i="10"/>
  <c r="L10" i="10"/>
  <c r="G10" i="10"/>
  <c r="F10" i="10"/>
  <c r="M9" i="10"/>
  <c r="L9" i="10"/>
  <c r="G9" i="10"/>
  <c r="F9" i="10"/>
  <c r="M8" i="10"/>
  <c r="L8" i="10"/>
  <c r="G8" i="10"/>
  <c r="F8" i="10"/>
  <c r="M7" i="10"/>
  <c r="L7" i="10"/>
  <c r="G7" i="10"/>
  <c r="F7" i="10"/>
  <c r="M6" i="10"/>
  <c r="L6" i="10"/>
  <c r="L14" i="10" s="1"/>
  <c r="G6" i="10"/>
  <c r="G14" i="10" s="1"/>
  <c r="F6" i="10"/>
  <c r="F14" i="10" s="1"/>
  <c r="M5" i="10"/>
  <c r="L5" i="10"/>
  <c r="G5" i="10"/>
  <c r="F5" i="10"/>
  <c r="M4" i="10"/>
  <c r="M14" i="10" s="1"/>
  <c r="L4" i="10"/>
  <c r="G4" i="10"/>
  <c r="F4" i="10"/>
  <c r="K14" i="9"/>
  <c r="I14" i="9"/>
  <c r="H14" i="9"/>
  <c r="F14" i="9"/>
  <c r="E14" i="9"/>
  <c r="C14" i="9"/>
  <c r="M13" i="9"/>
  <c r="L13" i="9"/>
  <c r="G13" i="9"/>
  <c r="F13" i="9"/>
  <c r="M12" i="9"/>
  <c r="L12" i="9"/>
  <c r="G12" i="9"/>
  <c r="F12" i="9"/>
  <c r="M11" i="9"/>
  <c r="L11" i="9"/>
  <c r="G11" i="9"/>
  <c r="F11" i="9"/>
  <c r="M10" i="9"/>
  <c r="L10" i="9"/>
  <c r="G10" i="9"/>
  <c r="F10" i="9"/>
  <c r="M9" i="9"/>
  <c r="L9" i="9"/>
  <c r="G9" i="9"/>
  <c r="F9" i="9"/>
  <c r="M8" i="9"/>
  <c r="L8" i="9"/>
  <c r="G8" i="9"/>
  <c r="F8" i="9"/>
  <c r="M7" i="9"/>
  <c r="L7" i="9"/>
  <c r="G7" i="9"/>
  <c r="F7" i="9"/>
  <c r="M6" i="9"/>
  <c r="M14" i="9" s="1"/>
  <c r="L6" i="9"/>
  <c r="G6" i="9"/>
  <c r="G14" i="9" s="1"/>
  <c r="F6" i="9"/>
  <c r="M5" i="9"/>
  <c r="L5" i="9"/>
  <c r="G5" i="9"/>
  <c r="F5" i="9"/>
  <c r="M4" i="9"/>
  <c r="L4" i="9"/>
  <c r="L14" i="9" s="1"/>
  <c r="G4" i="9"/>
  <c r="F4" i="9"/>
  <c r="K14" i="8"/>
  <c r="I14" i="8"/>
  <c r="H14" i="8"/>
  <c r="G14" i="8"/>
  <c r="F14" i="8"/>
  <c r="E14" i="8"/>
  <c r="C14" i="8"/>
  <c r="M13" i="8"/>
  <c r="L13" i="8"/>
  <c r="G13" i="8"/>
  <c r="F13" i="8"/>
  <c r="M12" i="8"/>
  <c r="L12" i="8"/>
  <c r="G12" i="8"/>
  <c r="F12" i="8"/>
  <c r="M11" i="8"/>
  <c r="L11" i="8"/>
  <c r="G11" i="8"/>
  <c r="F11" i="8"/>
  <c r="M10" i="8"/>
  <c r="L10" i="8"/>
  <c r="G10" i="8"/>
  <c r="F10" i="8"/>
  <c r="M9" i="8"/>
  <c r="L9" i="8"/>
  <c r="G9" i="8"/>
  <c r="F9" i="8"/>
  <c r="M8" i="8"/>
  <c r="L8" i="8"/>
  <c r="G8" i="8"/>
  <c r="F8" i="8"/>
  <c r="M7" i="8"/>
  <c r="L7" i="8"/>
  <c r="G7" i="8"/>
  <c r="F7" i="8"/>
  <c r="M6" i="8"/>
  <c r="L6" i="8"/>
  <c r="G6" i="8"/>
  <c r="F6" i="8"/>
  <c r="M5" i="8"/>
  <c r="L5" i="8"/>
  <c r="G5" i="8"/>
  <c r="F5" i="8"/>
  <c r="M4" i="8"/>
  <c r="M14" i="8" s="1"/>
  <c r="L4" i="8"/>
  <c r="L14" i="8" s="1"/>
  <c r="G4" i="8"/>
  <c r="F4" i="8"/>
  <c r="K14" i="7"/>
  <c r="I14" i="7"/>
  <c r="H14" i="7"/>
  <c r="G14" i="7"/>
  <c r="E14" i="7"/>
  <c r="C14" i="7"/>
  <c r="M13" i="7"/>
  <c r="L13" i="7"/>
  <c r="G13" i="7"/>
  <c r="F13" i="7"/>
  <c r="M12" i="7"/>
  <c r="L12" i="7"/>
  <c r="G12" i="7"/>
  <c r="F12" i="7"/>
  <c r="M11" i="7"/>
  <c r="L11" i="7"/>
  <c r="G11" i="7"/>
  <c r="F11" i="7"/>
  <c r="M10" i="7"/>
  <c r="L10" i="7"/>
  <c r="G10" i="7"/>
  <c r="F10" i="7"/>
  <c r="M9" i="7"/>
  <c r="L9" i="7"/>
  <c r="G9" i="7"/>
  <c r="F9" i="7"/>
  <c r="M8" i="7"/>
  <c r="L8" i="7"/>
  <c r="G8" i="7"/>
  <c r="F8" i="7"/>
  <c r="M7" i="7"/>
  <c r="L7" i="7"/>
  <c r="G7" i="7"/>
  <c r="F7" i="7"/>
  <c r="M6" i="7"/>
  <c r="L6" i="7"/>
  <c r="G6" i="7"/>
  <c r="F6" i="7"/>
  <c r="M5" i="7"/>
  <c r="L5" i="7"/>
  <c r="G5" i="7"/>
  <c r="F5" i="7"/>
  <c r="M4" i="7"/>
  <c r="M14" i="7" s="1"/>
  <c r="L4" i="7"/>
  <c r="L14" i="7" s="1"/>
  <c r="G4" i="7"/>
  <c r="F4" i="7"/>
  <c r="F14" i="7" s="1"/>
  <c r="K14" i="6"/>
  <c r="I14" i="6"/>
  <c r="H14" i="6"/>
  <c r="E14" i="6"/>
  <c r="C14" i="6"/>
  <c r="M13" i="6"/>
  <c r="L13" i="6"/>
  <c r="G13" i="6"/>
  <c r="F13" i="6"/>
  <c r="M12" i="6"/>
  <c r="L12" i="6"/>
  <c r="G12" i="6"/>
  <c r="F12" i="6"/>
  <c r="M11" i="6"/>
  <c r="L11" i="6"/>
  <c r="G11" i="6"/>
  <c r="F11" i="6"/>
  <c r="M10" i="6"/>
  <c r="L10" i="6"/>
  <c r="G10" i="6"/>
  <c r="F10" i="6"/>
  <c r="M9" i="6"/>
  <c r="L9" i="6"/>
  <c r="G9" i="6"/>
  <c r="F9" i="6"/>
  <c r="M8" i="6"/>
  <c r="L8" i="6"/>
  <c r="G8" i="6"/>
  <c r="F8" i="6"/>
  <c r="M7" i="6"/>
  <c r="L7" i="6"/>
  <c r="L14" i="6" s="1"/>
  <c r="G7" i="6"/>
  <c r="F7" i="6"/>
  <c r="M6" i="6"/>
  <c r="L6" i="6"/>
  <c r="G6" i="6"/>
  <c r="F6" i="6"/>
  <c r="M5" i="6"/>
  <c r="L5" i="6"/>
  <c r="G5" i="6"/>
  <c r="F5" i="6"/>
  <c r="M4" i="6"/>
  <c r="M14" i="6" s="1"/>
  <c r="L4" i="6"/>
  <c r="G4" i="6"/>
  <c r="G14" i="6" s="1"/>
  <c r="F4" i="6"/>
  <c r="F14" i="6" s="1"/>
  <c r="K14" i="5"/>
  <c r="I14" i="5"/>
  <c r="H14" i="5"/>
  <c r="E14" i="5"/>
  <c r="C14" i="5"/>
  <c r="M13" i="5"/>
  <c r="L13" i="5"/>
  <c r="G13" i="5"/>
  <c r="F13" i="5"/>
  <c r="M12" i="5"/>
  <c r="L12" i="5"/>
  <c r="G12" i="5"/>
  <c r="F12" i="5"/>
  <c r="M11" i="5"/>
  <c r="L11" i="5"/>
  <c r="G11" i="5"/>
  <c r="F11" i="5"/>
  <c r="M10" i="5"/>
  <c r="L10" i="5"/>
  <c r="G10" i="5"/>
  <c r="F10" i="5"/>
  <c r="M9" i="5"/>
  <c r="L9" i="5"/>
  <c r="G9" i="5"/>
  <c r="F9" i="5"/>
  <c r="M8" i="5"/>
  <c r="L8" i="5"/>
  <c r="G8" i="5"/>
  <c r="F8" i="5"/>
  <c r="M7" i="5"/>
  <c r="M14" i="5" s="1"/>
  <c r="L7" i="5"/>
  <c r="L14" i="5" s="1"/>
  <c r="G7" i="5"/>
  <c r="F7" i="5"/>
  <c r="M6" i="5"/>
  <c r="L6" i="5"/>
  <c r="G6" i="5"/>
  <c r="F6" i="5"/>
  <c r="M5" i="5"/>
  <c r="L5" i="5"/>
  <c r="G5" i="5"/>
  <c r="F5" i="5"/>
  <c r="M4" i="5"/>
  <c r="L4" i="5"/>
  <c r="G4" i="5"/>
  <c r="G14" i="5" s="1"/>
  <c r="F4" i="5"/>
  <c r="F14" i="5" s="1"/>
  <c r="K14" i="4"/>
  <c r="I14" i="4"/>
  <c r="H14" i="4"/>
  <c r="E14" i="4"/>
  <c r="C14" i="4"/>
  <c r="M13" i="4"/>
  <c r="L13" i="4"/>
  <c r="G13" i="4"/>
  <c r="F13" i="4"/>
  <c r="M12" i="4"/>
  <c r="L12" i="4"/>
  <c r="G12" i="4"/>
  <c r="F12" i="4"/>
  <c r="M11" i="4"/>
  <c r="L11" i="4"/>
  <c r="G11" i="4"/>
  <c r="F11" i="4"/>
  <c r="M10" i="4"/>
  <c r="L10" i="4"/>
  <c r="G10" i="4"/>
  <c r="F10" i="4"/>
  <c r="M9" i="4"/>
  <c r="L9" i="4"/>
  <c r="G9" i="4"/>
  <c r="F9" i="4"/>
  <c r="M8" i="4"/>
  <c r="L8" i="4"/>
  <c r="G8" i="4"/>
  <c r="F8" i="4"/>
  <c r="M7" i="4"/>
  <c r="M14" i="4" s="1"/>
  <c r="L7" i="4"/>
  <c r="L14" i="4" s="1"/>
  <c r="G7" i="4"/>
  <c r="F7" i="4"/>
  <c r="M6" i="4"/>
  <c r="L6" i="4"/>
  <c r="G6" i="4"/>
  <c r="F6" i="4"/>
  <c r="M5" i="4"/>
  <c r="L5" i="4"/>
  <c r="G5" i="4"/>
  <c r="F5" i="4"/>
  <c r="M4" i="4"/>
  <c r="L4" i="4"/>
  <c r="G4" i="4"/>
  <c r="G14" i="4" s="1"/>
  <c r="F4" i="4"/>
  <c r="F14" i="4" s="1"/>
  <c r="L14" i="3"/>
  <c r="K14" i="3"/>
  <c r="I14" i="3"/>
  <c r="H14" i="3"/>
  <c r="E14" i="3"/>
  <c r="C14" i="3"/>
  <c r="M13" i="3"/>
  <c r="L13" i="3"/>
  <c r="G13" i="3"/>
  <c r="F13" i="3"/>
  <c r="M12" i="3"/>
  <c r="L12" i="3"/>
  <c r="G12" i="3"/>
  <c r="F12" i="3"/>
  <c r="M11" i="3"/>
  <c r="L11" i="3"/>
  <c r="G11" i="3"/>
  <c r="F11" i="3"/>
  <c r="M10" i="3"/>
  <c r="L10" i="3"/>
  <c r="G10" i="3"/>
  <c r="F10" i="3"/>
  <c r="M9" i="3"/>
  <c r="L9" i="3"/>
  <c r="G9" i="3"/>
  <c r="F9" i="3"/>
  <c r="M8" i="3"/>
  <c r="L8" i="3"/>
  <c r="G8" i="3"/>
  <c r="F8" i="3"/>
  <c r="M7" i="3"/>
  <c r="M14" i="3" s="1"/>
  <c r="L7" i="3"/>
  <c r="G7" i="3"/>
  <c r="F7" i="3"/>
  <c r="M6" i="3"/>
  <c r="L6" i="3"/>
  <c r="G6" i="3"/>
  <c r="F6" i="3"/>
  <c r="M5" i="3"/>
  <c r="L5" i="3"/>
  <c r="G5" i="3"/>
  <c r="F5" i="3"/>
  <c r="M4" i="3"/>
  <c r="L4" i="3"/>
  <c r="G4" i="3"/>
  <c r="G14" i="3" s="1"/>
  <c r="F4" i="3"/>
  <c r="F14" i="3" s="1"/>
  <c r="M14" i="2"/>
  <c r="K14" i="2"/>
  <c r="I14" i="2"/>
  <c r="H14" i="2"/>
  <c r="E14" i="2"/>
  <c r="C14" i="2"/>
  <c r="M13" i="2"/>
  <c r="L13" i="2"/>
  <c r="G13" i="2"/>
  <c r="F13" i="2"/>
  <c r="M12" i="2"/>
  <c r="L12" i="2"/>
  <c r="G12" i="2"/>
  <c r="F12" i="2"/>
  <c r="M11" i="2"/>
  <c r="L11" i="2"/>
  <c r="G11" i="2"/>
  <c r="F11" i="2"/>
  <c r="M10" i="2"/>
  <c r="L10" i="2"/>
  <c r="G10" i="2"/>
  <c r="F10" i="2"/>
  <c r="M9" i="2"/>
  <c r="L9" i="2"/>
  <c r="G9" i="2"/>
  <c r="F9" i="2"/>
  <c r="M8" i="2"/>
  <c r="L8" i="2"/>
  <c r="G8" i="2"/>
  <c r="F8" i="2"/>
  <c r="M7" i="2"/>
  <c r="L7" i="2"/>
  <c r="G7" i="2"/>
  <c r="F7" i="2"/>
  <c r="M6" i="2"/>
  <c r="L6" i="2"/>
  <c r="G6" i="2"/>
  <c r="F6" i="2"/>
  <c r="M5" i="2"/>
  <c r="L5" i="2"/>
  <c r="G5" i="2"/>
  <c r="F5" i="2"/>
  <c r="M4" i="2"/>
  <c r="L4" i="2"/>
  <c r="L14" i="2" s="1"/>
  <c r="G4" i="2"/>
  <c r="G14" i="2" s="1"/>
  <c r="F4" i="2"/>
  <c r="F14" i="2" s="1"/>
  <c r="K14" i="1"/>
  <c r="I14" i="1"/>
  <c r="H14" i="1"/>
  <c r="E14" i="1"/>
  <c r="C14" i="1"/>
  <c r="M13" i="1"/>
  <c r="L13" i="1"/>
  <c r="G13" i="1"/>
  <c r="F13" i="1"/>
  <c r="M12" i="1"/>
  <c r="L12" i="1"/>
  <c r="G12" i="1"/>
  <c r="F12" i="1"/>
  <c r="M11" i="1"/>
  <c r="L11" i="1"/>
  <c r="G11" i="1"/>
  <c r="F11" i="1"/>
  <c r="M10" i="1"/>
  <c r="L10" i="1"/>
  <c r="G10" i="1"/>
  <c r="F10" i="1"/>
  <c r="M9" i="1"/>
  <c r="L9" i="1"/>
  <c r="G9" i="1"/>
  <c r="F9" i="1"/>
  <c r="M8" i="1"/>
  <c r="L8" i="1"/>
  <c r="G8" i="1"/>
  <c r="F8" i="1"/>
  <c r="M7" i="1"/>
  <c r="L7" i="1"/>
  <c r="G7" i="1"/>
  <c r="F7" i="1"/>
  <c r="M6" i="1"/>
  <c r="L6" i="1"/>
  <c r="G6" i="1"/>
  <c r="F6" i="1"/>
  <c r="M5" i="1"/>
  <c r="L5" i="1"/>
  <c r="G5" i="1"/>
  <c r="F5" i="1"/>
  <c r="F14" i="1" s="1"/>
  <c r="M4" i="1"/>
  <c r="M14" i="1" s="1"/>
  <c r="L4" i="1"/>
  <c r="L14" i="1" s="1"/>
  <c r="G4" i="1"/>
  <c r="G14" i="1" s="1"/>
  <c r="F4" i="1"/>
</calcChain>
</file>

<file path=xl/sharedStrings.xml><?xml version="1.0" encoding="utf-8"?>
<sst xmlns="http://schemas.openxmlformats.org/spreadsheetml/2006/main" count="423" uniqueCount="146">
  <si>
    <t>pizza_id</t>
  </si>
  <si>
    <t>count</t>
  </si>
  <si>
    <t>count_rank</t>
  </si>
  <si>
    <t>pct_count</t>
  </si>
  <si>
    <t>count_diff</t>
  </si>
  <si>
    <t>count_pct_diff</t>
  </si>
  <si>
    <t>avg_total_sales</t>
  </si>
  <si>
    <t>total_sales</t>
  </si>
  <si>
    <t>sales_rank</t>
  </si>
  <si>
    <t>pct_total_sales</t>
  </si>
  <si>
    <t>total_sales_diff</t>
  </si>
  <si>
    <t>total_sales_pct_diff</t>
  </si>
  <si>
    <t>Total</t>
  </si>
  <si>
    <t>thai_ckn_l</t>
  </si>
  <si>
    <t>five_cheese_l</t>
  </si>
  <si>
    <t>four_cheese_l</t>
  </si>
  <si>
    <t>spicy_ital_l</t>
  </si>
  <si>
    <t>big_meat_s</t>
  </si>
  <si>
    <t>southw_ckn_l</t>
  </si>
  <si>
    <t>bbq_ckn_l</t>
  </si>
  <si>
    <t>cali_ckn_l</t>
  </si>
  <si>
    <t>classic_dlx_m</t>
  </si>
  <si>
    <t>mexicana_l</t>
  </si>
  <si>
    <t>Top 10 Pizza IDs By Total Sales, Count And Percentage Share</t>
  </si>
  <si>
    <t>hawaiian_s</t>
  </si>
  <si>
    <t>bbq_ckn_m</t>
  </si>
  <si>
    <t>Top 10 Pizza IDs By Counts, Total Sales And Percentage Share</t>
  </si>
  <si>
    <t>the_greek_s</t>
  </si>
  <si>
    <t>ital_cpcllo_s</t>
  </si>
  <si>
    <t>soppressata_s</t>
  </si>
  <si>
    <t>mediterraneo_s</t>
  </si>
  <si>
    <t>ital_supr_s</t>
  </si>
  <si>
    <t>mexicana_s</t>
  </si>
  <si>
    <t>green_garden_l</t>
  </si>
  <si>
    <t>ckn_alfredo_s</t>
  </si>
  <si>
    <t>calabrese_s</t>
  </si>
  <si>
    <t>the_greek_xxl</t>
  </si>
  <si>
    <t>Bottom 10 Pizza IDs By Total Sales, Count And Percentage Share</t>
  </si>
  <si>
    <t>spinach_supr_m</t>
  </si>
  <si>
    <t>the_greek_l</t>
  </si>
  <si>
    <t>ital_veggie_l</t>
  </si>
  <si>
    <t>ckn_alfredo_l</t>
  </si>
  <si>
    <t>Bottom 10 Pizza IDs By Counts, Total Sales And Percentage Share</t>
  </si>
  <si>
    <t>pizza_type_id</t>
  </si>
  <si>
    <t>thai_ckn</t>
  </si>
  <si>
    <t>bbq_ckn</t>
  </si>
  <si>
    <t>cali_ckn</t>
  </si>
  <si>
    <t>classic_dlx</t>
  </si>
  <si>
    <t>spicy_ital</t>
  </si>
  <si>
    <t>southw_ckn</t>
  </si>
  <si>
    <t>ital_supr</t>
  </si>
  <si>
    <t>hawaiian</t>
  </si>
  <si>
    <t>four_cheese</t>
  </si>
  <si>
    <t>sicilian</t>
  </si>
  <si>
    <t>Top 10 Pizza Type IDs By Total Sales, Count And Percentage Share</t>
  </si>
  <si>
    <t>pepperoni</t>
  </si>
  <si>
    <t>Top 10 Pizza Type IDs By Counts, Total Sales And Percentage Share</t>
  </si>
  <si>
    <t>ckn_alfredo</t>
  </si>
  <si>
    <t>ckn_pesto</t>
  </si>
  <si>
    <t>soppressata</t>
  </si>
  <si>
    <t>ital_veggie</t>
  </si>
  <si>
    <t>calabrese</t>
  </si>
  <si>
    <t>spin_pesto</t>
  </si>
  <si>
    <t>mediterraneo</t>
  </si>
  <si>
    <t>spinach_supr</t>
  </si>
  <si>
    <t>green_garden</t>
  </si>
  <si>
    <t>brie_carre</t>
  </si>
  <si>
    <t>Bottom 10 Pizza Type IDs By Total Sales, Count And Percentage Share</t>
  </si>
  <si>
    <t>Bottom 10 Pizza Type IDs By Counts, Total Sales And Percentage Share</t>
  </si>
  <si>
    <t>name</t>
  </si>
  <si>
    <t>The Thai Chicken Pizza</t>
  </si>
  <si>
    <t>The Barbecue Chicken Pizza</t>
  </si>
  <si>
    <t>The California Chicken Pizza</t>
  </si>
  <si>
    <t>The Classic Deluxe Pizza</t>
  </si>
  <si>
    <t>The Spicy Italian Pizza</t>
  </si>
  <si>
    <t>The Southwest Chicken Pizza</t>
  </si>
  <si>
    <t>The Italian Supreme Pizza</t>
  </si>
  <si>
    <t>The Hawaiian Pizza</t>
  </si>
  <si>
    <t>The Four Cheese Pizza</t>
  </si>
  <si>
    <t>The Sicilian Pizza</t>
  </si>
  <si>
    <t>Top 10 Names By Total Sales, Count And Percentage Share</t>
  </si>
  <si>
    <t>The Pepperoni Pizza</t>
  </si>
  <si>
    <t>Top 10 Names By Counts, Total Sales And Percentage Share</t>
  </si>
  <si>
    <t>The Chicken Alfredo Pizza</t>
  </si>
  <si>
    <t>The Chicken Pesto Pizza</t>
  </si>
  <si>
    <t>The Soppressata Pizza</t>
  </si>
  <si>
    <t>The Italian Vegetables Pizza</t>
  </si>
  <si>
    <t>The Calabrese Pizza</t>
  </si>
  <si>
    <t>The Spinach Pesto Pizza</t>
  </si>
  <si>
    <t>The Mediterranean Pizza</t>
  </si>
  <si>
    <t>The Spinach Supreme Pizza</t>
  </si>
  <si>
    <t>The Green Garden Pizza</t>
  </si>
  <si>
    <t>The Brie Carre Pizza</t>
  </si>
  <si>
    <t>Bottom 10 Names By Total Sales, Count And Percentage Share</t>
  </si>
  <si>
    <t>Bottom 10 Names By Counts, Total Sales And Percentage Share</t>
  </si>
  <si>
    <t>category</t>
  </si>
  <si>
    <t>Classic</t>
  </si>
  <si>
    <t>Supreme</t>
  </si>
  <si>
    <t>Chicken</t>
  </si>
  <si>
    <t>Veggie</t>
  </si>
  <si>
    <t>The Total Sales, Count And Percentage Share By Categories</t>
  </si>
  <si>
    <t>size</t>
  </si>
  <si>
    <t>L</t>
  </si>
  <si>
    <t>M</t>
  </si>
  <si>
    <t>S</t>
  </si>
  <si>
    <t>XL</t>
  </si>
  <si>
    <t>XXL</t>
  </si>
  <si>
    <t>The Total Sales, Count And Percentage Share By Size</t>
  </si>
  <si>
    <t>day</t>
  </si>
  <si>
    <t>Monday</t>
  </si>
  <si>
    <t>Tuesday</t>
  </si>
  <si>
    <t>Wednesday</t>
  </si>
  <si>
    <t>Thursday</t>
  </si>
  <si>
    <t>Friday</t>
  </si>
  <si>
    <t>Saturday</t>
  </si>
  <si>
    <t>Sunday</t>
  </si>
  <si>
    <t>Top Days By Total Sales, Count And Percentage Share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</si>
  <si>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</si>
  <si>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</si>
  <si>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</si>
  <si>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</si>
  <si>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</si>
  <si>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</si>
  <si>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</si>
  <si>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</si>
  <si>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</si>
  <si>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</si>
  <si>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</si>
  <si>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</si>
  <si>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</si>
  <si>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Top Months By Total Sales, Count And Percentage Share</t>
  </si>
  <si>
    <t>quarter</t>
  </si>
  <si>
    <t>2015Q1</t>
  </si>
  <si>
    <t>2015Q2</t>
  </si>
  <si>
    <t>2015Q3</t>
  </si>
  <si>
    <t>2015Q4</t>
  </si>
  <si>
    <t>Top Quarters By Total Sales, Count And Percentage Share</t>
  </si>
  <si>
    <t>quarter_label</t>
  </si>
  <si>
    <t>Q1</t>
  </si>
  <si>
    <t>Q2</t>
  </si>
  <si>
    <t>Q3</t>
  </si>
  <si>
    <t>Q4</t>
  </si>
  <si>
    <t>Top Quarter Labels By Total Sales, Count And Percentage Share</t>
  </si>
  <si>
    <t>year</t>
  </si>
  <si>
    <t>2015</t>
  </si>
  <si>
    <t>Top Years By Total Sales, Count And Percentage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</si>
</sst>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£#,##0"/>
  </numFmts>
  <fonts count="16" x14ac:knownFonts="1">
    <font>
      <sz val="11"/>
      <color theme="1"/>
      <name val="Calibri"/>
      <family val="2"/>
      <scheme val="minor"/>
    </font>
    <font>
      <b/>
      <u/>
      <sz val="14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.25"/>
      <color rgb="FFFFFFFF"/>
      <name val="consolas"/>
      <family val="2"/>
    </font>
    <font>
      <b/>
      <sz val="11.5"/>
      <color rgb="FF00FFFF"/>
      <name val="Consolas"/>
      <family val="2"/>
    </font>
    <font>
      <b/>
      <sz val="11.25"/>
      <color rgb="FFF1F1F1"/>
      <name val="consolas"/>
      <family val="2"/>
    </font>
    <font>
      <b/>
      <sz val="11.5"/>
      <color rgb="FFFFFFFF"/>
      <name val="Consolas"/>
      <family val="2"/>
    </font>
    <font>
      <b/>
      <sz val="11.5"/>
      <color rgb="FFFF0000"/>
      <name val="Consolas"/>
      <family val="2"/>
    </font>
    <font>
      <b/>
      <sz val="11.5"/>
      <color rgb="FF0000FF"/>
      <name val="Consolas"/>
      <family val="2"/>
    </font>
    <font>
      <b/>
      <sz val="11.5"/>
      <color rgb="FF00FF00"/>
      <name val="Consolas"/>
      <family val="2"/>
    </font>
    <font>
      <b/>
      <sz val="11.25"/>
      <color rgb="FF000000"/>
      <name val="consolas"/>
      <family val="2"/>
    </font>
    <font>
      <b/>
      <sz val="14"/>
      <color rgb="FFFF6600"/>
      <name val="Consolas"/>
      <family val="2"/>
    </font>
    <font>
      <b/>
      <sz val="14"/>
      <color rgb="FFFFFFFF"/>
      <name val="Consolas"/>
      <family val="2"/>
    </font>
    <font>
      <b/>
      <sz val="14"/>
      <color rgb="FFFF0000"/>
      <name val="Consolas"/>
      <family val="2"/>
    </font>
    <font>
      <b/>
      <sz val="14"/>
      <color rgb="FF0000FF"/>
      <name val="Consolas"/>
      <family val="2"/>
    </font>
    <font>
      <b/>
      <sz val="14"/>
      <color rgb="FFFFFF00"/>
      <name val="Consolas"/>
      <family val="2"/>
    </font>
  </fonts>
  <fills count="75">
    <fill>
      <patternFill patternType="none"/>
    </fill>
    <fill>
      <patternFill patternType="gray125"/>
    </fill>
    <fill>
      <patternFill patternType="solid">
        <fgColor rgb="FFF4A460"/>
        <bgColor indexed="64"/>
      </patternFill>
    </fill>
    <fill>
      <patternFill patternType="solid">
        <fgColor rgb="FFA34444"/>
        <bgColor indexed="64"/>
      </patternFill>
    </fill>
    <fill>
      <patternFill patternType="solid">
        <fgColor rgb="FF6D4545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rgb="FFC4FDF4"/>
        <bgColor indexed="64"/>
      </patternFill>
    </fill>
    <fill>
      <patternFill patternType="solid">
        <fgColor rgb="FF004529"/>
        <bgColor indexed="64"/>
      </patternFill>
    </fill>
    <fill>
      <patternFill patternType="solid">
        <fgColor rgb="FF71FCE5"/>
        <bgColor indexed="64"/>
      </patternFill>
    </fill>
    <fill>
      <patternFill patternType="solid">
        <fgColor rgb="FF976262"/>
        <bgColor indexed="64"/>
      </patternFill>
    </fill>
    <fill>
      <patternFill patternType="solid">
        <fgColor rgb="FF006435"/>
        <bgColor indexed="64"/>
      </patternFill>
    </fill>
    <fill>
      <patternFill patternType="solid">
        <fgColor rgb="FFB97878"/>
        <bgColor indexed="64"/>
      </patternFill>
    </fill>
    <fill>
      <patternFill patternType="solid">
        <fgColor rgb="FF1A7D40"/>
        <bgColor indexed="64"/>
      </patternFill>
    </fill>
    <fill>
      <patternFill patternType="solid">
        <fgColor rgb="FFD6BB9B"/>
        <bgColor indexed="64"/>
      </patternFill>
    </fill>
    <fill>
      <patternFill patternType="solid">
        <fgColor rgb="FF379E54"/>
        <bgColor indexed="64"/>
      </patternFill>
    </fill>
    <fill>
      <patternFill patternType="solid">
        <fgColor rgb="FF1E0000"/>
        <bgColor indexed="64"/>
      </patternFill>
    </fill>
    <fill>
      <patternFill patternType="solid">
        <fgColor rgb="FF5FBA6C"/>
        <bgColor indexed="64"/>
      </patternFill>
    </fill>
    <fill>
      <patternFill patternType="solid">
        <fgColor rgb="FFE1D7AA"/>
        <bgColor indexed="64"/>
      </patternFill>
    </fill>
    <fill>
      <patternFill patternType="solid">
        <fgColor rgb="FF90D083"/>
        <bgColor indexed="64"/>
      </patternFill>
    </fill>
    <fill>
      <patternFill patternType="solid">
        <fgColor rgb="FFECECC0"/>
        <bgColor indexed="64"/>
      </patternFill>
    </fill>
    <fill>
      <patternFill patternType="solid">
        <fgColor rgb="FFBCE395"/>
        <bgColor indexed="64"/>
      </patternFill>
    </fill>
    <fill>
      <patternFill patternType="solid">
        <fgColor rgb="FFF5F5E2"/>
        <bgColor indexed="64"/>
      </patternFill>
    </fill>
    <fill>
      <patternFill patternType="solid">
        <fgColor rgb="FFE0F3A8"/>
        <bgColor indexed="64"/>
      </patternFill>
    </fill>
    <fill>
      <patternFill patternType="solid">
        <fgColor rgb="FFCA9A8B"/>
        <bgColor indexed="64"/>
      </patternFill>
    </fill>
    <fill>
      <patternFill patternType="solid">
        <fgColor rgb="FFF8FCB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E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C6565"/>
        <bgColor indexed="64"/>
      </patternFill>
    </fill>
    <fill>
      <patternFill patternType="solid">
        <fgColor rgb="FFC78F86"/>
        <bgColor indexed="64"/>
      </patternFill>
    </fill>
    <fill>
      <patternFill patternType="solid">
        <fgColor rgb="FFD3B497"/>
        <bgColor indexed="64"/>
      </patternFill>
    </fill>
    <fill>
      <patternFill patternType="solid">
        <fgColor rgb="FFF5F5DF"/>
        <bgColor indexed="64"/>
      </patternFill>
    </fill>
    <fill>
      <patternFill patternType="solid">
        <fgColor rgb="FFEAEABA"/>
        <bgColor indexed="64"/>
      </patternFill>
    </fill>
    <fill>
      <patternFill patternType="solid">
        <fgColor rgb="FFDFD2A7"/>
        <bgColor indexed="64"/>
      </patternFill>
    </fill>
    <fill>
      <patternFill patternType="solid">
        <fgColor rgb="FFCD853F"/>
        <bgColor indexed="64"/>
      </patternFill>
    </fill>
    <fill>
      <patternFill patternType="solid">
        <fgColor rgb="FFDCC9A3"/>
        <bgColor indexed="64"/>
      </patternFill>
    </fill>
    <fill>
      <patternFill patternType="solid">
        <fgColor rgb="FFE6E3B1"/>
        <bgColor indexed="64"/>
      </patternFill>
    </fill>
    <fill>
      <patternFill patternType="solid">
        <fgColor rgb="FFD0AC94"/>
        <bgColor indexed="64"/>
      </patternFill>
    </fill>
    <fill>
      <patternFill patternType="solid">
        <fgColor rgb="FF696969"/>
        <bgColor indexed="64"/>
      </patternFill>
    </fill>
    <fill>
      <patternFill patternType="solid">
        <fgColor rgb="FFBC8F8F"/>
        <bgColor indexed="64"/>
      </patternFill>
    </fill>
    <fill>
      <patternFill patternType="solid">
        <fgColor rgb="FFA52A2A"/>
        <bgColor indexed="64"/>
      </patternFill>
    </fill>
    <fill>
      <patternFill patternType="solid">
        <fgColor rgb="FFA16868"/>
        <bgColor indexed="64"/>
      </patternFill>
    </fill>
    <fill>
      <patternFill patternType="solid">
        <fgColor rgb="FF238443"/>
        <bgColor indexed="64"/>
      </patternFill>
    </fill>
    <fill>
      <patternFill patternType="solid">
        <fgColor rgb="FF79C679"/>
        <bgColor indexed="64"/>
      </patternFill>
    </fill>
    <fill>
      <patternFill patternType="solid">
        <fgColor rgb="FFE9E9B6"/>
        <bgColor indexed="64"/>
      </patternFill>
    </fill>
    <fill>
      <patternFill patternType="solid">
        <fgColor rgb="FFDAF0A4"/>
        <bgColor indexed="64"/>
      </patternFill>
    </fill>
    <fill>
      <patternFill patternType="solid">
        <fgColor rgb="FF20B2AA"/>
        <bgColor indexed="64"/>
      </patternFill>
    </fill>
    <fill>
      <patternFill patternType="solid">
        <fgColor rgb="FFF1F1D1"/>
        <bgColor indexed="64"/>
      </patternFill>
    </fill>
    <fill>
      <patternFill patternType="solid">
        <fgColor rgb="FFEDF8B2"/>
        <bgColor indexed="64"/>
      </patternFill>
    </fill>
    <fill>
      <patternFill patternType="solid">
        <fgColor rgb="FF0B713B"/>
        <bgColor indexed="64"/>
      </patternFill>
    </fill>
    <fill>
      <patternFill patternType="solid">
        <fgColor rgb="FF845454"/>
        <bgColor indexed="64"/>
      </patternFill>
    </fill>
    <fill>
      <patternFill patternType="solid">
        <fgColor rgb="FF5F9EA0"/>
        <bgColor indexed="64"/>
      </patternFill>
    </fill>
    <fill>
      <patternFill patternType="solid">
        <fgColor rgb="FFC27E7E"/>
        <bgColor indexed="64"/>
      </patternFill>
    </fill>
    <fill>
      <patternFill patternType="solid">
        <fgColor rgb="FF3FA85B"/>
        <bgColor indexed="64"/>
      </patternFill>
    </fill>
    <fill>
      <patternFill patternType="solid">
        <fgColor rgb="FFE7E5B2"/>
        <bgColor indexed="64"/>
      </patternFill>
    </fill>
    <fill>
      <patternFill patternType="solid">
        <fgColor rgb="FFD2EDA0"/>
        <bgColor indexed="64"/>
      </patternFill>
    </fill>
    <fill>
      <patternFill patternType="solid">
        <fgColor rgb="FF8A5858"/>
        <bgColor indexed="64"/>
      </patternFill>
    </fill>
    <fill>
      <patternFill patternType="solid">
        <fgColor rgb="FF10743C"/>
        <bgColor indexed="64"/>
      </patternFill>
    </fill>
    <fill>
      <patternFill patternType="solid">
        <fgColor rgb="FFD5B89A"/>
        <bgColor indexed="64"/>
      </patternFill>
    </fill>
    <fill>
      <patternFill patternType="solid">
        <fgColor rgb="FF64BC6F"/>
        <bgColor indexed="64"/>
      </patternFill>
    </fill>
    <fill>
      <patternFill patternType="solid">
        <fgColor rgb="FF643E3E"/>
        <bgColor indexed="64"/>
      </patternFill>
    </fill>
    <fill>
      <patternFill patternType="solid">
        <fgColor rgb="FF005E33"/>
        <bgColor indexed="64"/>
      </patternFill>
    </fill>
    <fill>
      <patternFill patternType="solid">
        <fgColor rgb="FFDECFA6"/>
        <bgColor indexed="64"/>
      </patternFill>
    </fill>
    <fill>
      <patternFill patternType="solid">
        <fgColor rgb="FFB1DF90"/>
        <bgColor indexed="64"/>
      </patternFill>
    </fill>
    <fill>
      <patternFill patternType="solid">
        <fgColor rgb="FFCB9E8C"/>
        <bgColor indexed="64"/>
      </patternFill>
    </fill>
    <fill>
      <patternFill patternType="solid">
        <fgColor rgb="FF8BCE81"/>
        <bgColor indexed="64"/>
      </patternFill>
    </fill>
    <fill>
      <patternFill patternType="solid">
        <fgColor rgb="FFF7F7E7"/>
        <bgColor indexed="64"/>
      </patternFill>
    </fill>
    <fill>
      <patternFill patternType="solid">
        <fgColor rgb="FFF9FDC5"/>
        <bgColor indexed="64"/>
      </patternFill>
    </fill>
    <fill>
      <patternFill patternType="solid">
        <fgColor rgb="FFA76C6C"/>
        <bgColor indexed="64"/>
      </patternFill>
    </fill>
    <fill>
      <patternFill patternType="solid">
        <fgColor rgb="FF288A47"/>
        <bgColor indexed="64"/>
      </patternFill>
    </fill>
    <fill>
      <patternFill patternType="solid">
        <fgColor rgb="FFEFEFCC"/>
        <bgColor indexed="64"/>
      </patternFill>
    </fill>
    <fill>
      <patternFill patternType="solid">
        <fgColor rgb="FFEAF7AF"/>
        <bgColor indexed="64"/>
      </patternFill>
    </fill>
    <fill>
      <patternFill patternType="solid">
        <fgColor rgb="FF1E90FF"/>
        <bgColor indexed="64"/>
      </patternFill>
    </fill>
    <fill>
      <patternFill patternType="solid">
        <fgColor rgb="FF00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0" fillId="0" borderId="0" xfId="0" applyAlignment="1">
      <alignment wrapText="1"/>
    </xf>
    <xf numFmtId="0" fontId="2" fillId="0" borderId="1" xfId="0" applyFont="1" applyBorder="1" applyAlignment="1">
      <alignment horizontal="center" vertical="top"/>
    </xf>
    <xf numFmtId="0" fontId="3" fillId="2" borderId="2" xfId="0" applyFont="1" applyFill="1" applyBorder="1" applyAlignment="1">
      <alignment horizontal="justify"/>
    </xf>
    <xf numFmtId="3" fontId="4" fillId="3" borderId="0" xfId="0" applyNumberFormat="1" applyFont="1" applyFill="1" applyAlignment="1">
      <alignment horizontal="justify"/>
    </xf>
    <xf numFmtId="0" fontId="5" fillId="4" borderId="2" xfId="0" applyFont="1" applyFill="1" applyBorder="1" applyAlignment="1">
      <alignment horizontal="justify"/>
    </xf>
    <xf numFmtId="10" fontId="6" fillId="3" borderId="0" xfId="0" applyNumberFormat="1" applyFont="1" applyFill="1" applyAlignment="1">
      <alignment horizontal="justify"/>
    </xf>
    <xf numFmtId="2" fontId="7" fillId="5" borderId="0" xfId="0" applyNumberFormat="1" applyFont="1" applyFill="1" applyAlignment="1">
      <alignment horizontal="justify"/>
    </xf>
    <xf numFmtId="164" fontId="8" fillId="6" borderId="0" xfId="0" applyNumberFormat="1" applyFont="1" applyFill="1" applyAlignment="1">
      <alignment horizontal="justify"/>
    </xf>
    <xf numFmtId="164" fontId="9" fillId="6" borderId="0" xfId="0" applyNumberFormat="1" applyFont="1" applyFill="1" applyAlignment="1">
      <alignment horizontal="justify"/>
    </xf>
    <xf numFmtId="0" fontId="5" fillId="7" borderId="2" xfId="0" applyFont="1" applyFill="1" applyBorder="1" applyAlignment="1">
      <alignment horizontal="justify"/>
    </xf>
    <xf numFmtId="10" fontId="6" fillId="8" borderId="0" xfId="0" applyNumberFormat="1" applyFont="1" applyFill="1" applyAlignment="1">
      <alignment horizontal="justify"/>
    </xf>
    <xf numFmtId="164" fontId="7" fillId="5" borderId="0" xfId="0" applyNumberFormat="1" applyFont="1" applyFill="1" applyAlignment="1">
      <alignment horizontal="justify"/>
    </xf>
    <xf numFmtId="0" fontId="5" fillId="9" borderId="2" xfId="0" applyFont="1" applyFill="1" applyBorder="1" applyAlignment="1">
      <alignment horizontal="justify"/>
    </xf>
    <xf numFmtId="0" fontId="5" fillId="10" borderId="2" xfId="0" applyFont="1" applyFill="1" applyBorder="1" applyAlignment="1">
      <alignment horizontal="justify"/>
    </xf>
    <xf numFmtId="0" fontId="5" fillId="11" borderId="2" xfId="0" applyFont="1" applyFill="1" applyBorder="1" applyAlignment="1">
      <alignment horizontal="justify"/>
    </xf>
    <xf numFmtId="0" fontId="5" fillId="12" borderId="2" xfId="0" applyFont="1" applyFill="1" applyBorder="1" applyAlignment="1">
      <alignment horizontal="justify"/>
    </xf>
    <xf numFmtId="0" fontId="10" fillId="13" borderId="2" xfId="0" applyFont="1" applyFill="1" applyBorder="1" applyAlignment="1">
      <alignment horizontal="justify"/>
    </xf>
    <xf numFmtId="0" fontId="5" fillId="14" borderId="2" xfId="0" applyFont="1" applyFill="1" applyBorder="1" applyAlignment="1">
      <alignment horizontal="justify"/>
    </xf>
    <xf numFmtId="0" fontId="5" fillId="15" borderId="2" xfId="0" applyFont="1" applyFill="1" applyBorder="1" applyAlignment="1">
      <alignment horizontal="justify"/>
    </xf>
    <xf numFmtId="0" fontId="5" fillId="16" borderId="2" xfId="0" applyFont="1" applyFill="1" applyBorder="1" applyAlignment="1">
      <alignment horizontal="justify"/>
    </xf>
    <xf numFmtId="0" fontId="10" fillId="17" borderId="2" xfId="0" applyFont="1" applyFill="1" applyBorder="1" applyAlignment="1">
      <alignment horizontal="justify"/>
    </xf>
    <xf numFmtId="0" fontId="10" fillId="18" borderId="2" xfId="0" applyFont="1" applyFill="1" applyBorder="1" applyAlignment="1">
      <alignment horizontal="justify"/>
    </xf>
    <xf numFmtId="0" fontId="10" fillId="19" borderId="2" xfId="0" applyFont="1" applyFill="1" applyBorder="1" applyAlignment="1">
      <alignment horizontal="justify"/>
    </xf>
    <xf numFmtId="0" fontId="10" fillId="20" borderId="2" xfId="0" applyFont="1" applyFill="1" applyBorder="1" applyAlignment="1">
      <alignment horizontal="justify"/>
    </xf>
    <xf numFmtId="0" fontId="10" fillId="21" borderId="2" xfId="0" applyFont="1" applyFill="1" applyBorder="1" applyAlignment="1">
      <alignment horizontal="justify"/>
    </xf>
    <xf numFmtId="0" fontId="10" fillId="22" borderId="2" xfId="0" applyFont="1" applyFill="1" applyBorder="1" applyAlignment="1">
      <alignment horizontal="justify"/>
    </xf>
    <xf numFmtId="0" fontId="5" fillId="23" borderId="2" xfId="0" applyFont="1" applyFill="1" applyBorder="1" applyAlignment="1">
      <alignment horizontal="justify"/>
    </xf>
    <xf numFmtId="0" fontId="10" fillId="24" borderId="2" xfId="0" applyFont="1" applyFill="1" applyBorder="1" applyAlignment="1">
      <alignment horizontal="justify"/>
    </xf>
    <xf numFmtId="0" fontId="10" fillId="25" borderId="2" xfId="0" applyFont="1" applyFill="1" applyBorder="1" applyAlignment="1">
      <alignment horizontal="justify"/>
    </xf>
    <xf numFmtId="0" fontId="10" fillId="26" borderId="2" xfId="0" applyFont="1" applyFill="1" applyBorder="1" applyAlignment="1">
      <alignment horizontal="justify"/>
    </xf>
    <xf numFmtId="0" fontId="3" fillId="27" borderId="2" xfId="0" applyFont="1" applyFill="1" applyBorder="1" applyAlignment="1">
      <alignment horizontal="justify"/>
    </xf>
    <xf numFmtId="3" fontId="11" fillId="28" borderId="0" xfId="0" applyNumberFormat="1" applyFont="1" applyFill="1" applyAlignment="1">
      <alignment horizontal="justify"/>
    </xf>
    <xf numFmtId="10" fontId="12" fillId="28" borderId="0" xfId="0" applyNumberFormat="1" applyFont="1" applyFill="1" applyAlignment="1">
      <alignment horizontal="justify"/>
    </xf>
    <xf numFmtId="2" fontId="13" fillId="28" borderId="0" xfId="0" applyNumberFormat="1" applyFont="1" applyFill="1" applyAlignment="1">
      <alignment horizontal="justify"/>
    </xf>
    <xf numFmtId="164" fontId="14" fillId="28" borderId="0" xfId="0" applyNumberFormat="1" applyFont="1" applyFill="1" applyAlignment="1">
      <alignment horizontal="justify"/>
    </xf>
    <xf numFmtId="164" fontId="15" fillId="28" borderId="0" xfId="0" applyNumberFormat="1" applyFont="1" applyFill="1" applyAlignment="1">
      <alignment horizontal="justify"/>
    </xf>
    <xf numFmtId="164" fontId="13" fillId="28" borderId="0" xfId="0" applyNumberFormat="1" applyFont="1" applyFill="1" applyAlignment="1">
      <alignment horizontal="justify"/>
    </xf>
    <xf numFmtId="0" fontId="5" fillId="29" borderId="2" xfId="0" applyFont="1" applyFill="1" applyBorder="1" applyAlignment="1">
      <alignment horizontal="justify"/>
    </xf>
    <xf numFmtId="0" fontId="5" fillId="30" borderId="2" xfId="0" applyFont="1" applyFill="1" applyBorder="1" applyAlignment="1">
      <alignment horizontal="justify"/>
    </xf>
    <xf numFmtId="0" fontId="10" fillId="31" borderId="2" xfId="0" applyFont="1" applyFill="1" applyBorder="1" applyAlignment="1">
      <alignment horizontal="justify"/>
    </xf>
    <xf numFmtId="0" fontId="10" fillId="32" borderId="2" xfId="0" applyFont="1" applyFill="1" applyBorder="1" applyAlignment="1">
      <alignment horizontal="justify"/>
    </xf>
    <xf numFmtId="0" fontId="10" fillId="33" borderId="2" xfId="0" applyFont="1" applyFill="1" applyBorder="1" applyAlignment="1">
      <alignment horizontal="justify"/>
    </xf>
    <xf numFmtId="0" fontId="10" fillId="34" borderId="2" xfId="0" applyFont="1" applyFill="1" applyBorder="1" applyAlignment="1">
      <alignment horizontal="justify"/>
    </xf>
    <xf numFmtId="0" fontId="3" fillId="35" borderId="2" xfId="0" applyFont="1" applyFill="1" applyBorder="1" applyAlignment="1">
      <alignment horizontal="justify"/>
    </xf>
    <xf numFmtId="0" fontId="10" fillId="36" borderId="2" xfId="0" applyFont="1" applyFill="1" applyBorder="1" applyAlignment="1">
      <alignment horizontal="justify"/>
    </xf>
    <xf numFmtId="0" fontId="10" fillId="37" borderId="2" xfId="0" applyFont="1" applyFill="1" applyBorder="1" applyAlignment="1">
      <alignment horizontal="justify"/>
    </xf>
    <xf numFmtId="0" fontId="10" fillId="38" borderId="2" xfId="0" applyFont="1" applyFill="1" applyBorder="1" applyAlignment="1">
      <alignment horizontal="justify"/>
    </xf>
    <xf numFmtId="0" fontId="3" fillId="39" borderId="2" xfId="0" applyFont="1" applyFill="1" applyBorder="1" applyAlignment="1">
      <alignment horizontal="justify"/>
    </xf>
    <xf numFmtId="0" fontId="3" fillId="40" borderId="2" xfId="0" applyFont="1" applyFill="1" applyBorder="1" applyAlignment="1">
      <alignment horizontal="justify"/>
    </xf>
    <xf numFmtId="0" fontId="3" fillId="41" borderId="2" xfId="0" applyFont="1" applyFill="1" applyBorder="1" applyAlignment="1">
      <alignment horizontal="justify"/>
    </xf>
    <xf numFmtId="0" fontId="5" fillId="42" borderId="2" xfId="0" applyFont="1" applyFill="1" applyBorder="1" applyAlignment="1">
      <alignment horizontal="justify"/>
    </xf>
    <xf numFmtId="0" fontId="5" fillId="43" borderId="2" xfId="0" applyFont="1" applyFill="1" applyBorder="1" applyAlignment="1">
      <alignment horizontal="justify"/>
    </xf>
    <xf numFmtId="0" fontId="10" fillId="44" borderId="2" xfId="0" applyFont="1" applyFill="1" applyBorder="1" applyAlignment="1">
      <alignment horizontal="justify"/>
    </xf>
    <xf numFmtId="0" fontId="10" fillId="45" borderId="2" xfId="0" applyFont="1" applyFill="1" applyBorder="1" applyAlignment="1">
      <alignment horizontal="justify"/>
    </xf>
    <xf numFmtId="0" fontId="10" fillId="46" borderId="2" xfId="0" applyFont="1" applyFill="1" applyBorder="1" applyAlignment="1">
      <alignment horizontal="justify"/>
    </xf>
    <xf numFmtId="0" fontId="3" fillId="47" borderId="2" xfId="0" applyFont="1" applyFill="1" applyBorder="1" applyAlignment="1">
      <alignment horizontal="justify"/>
    </xf>
    <xf numFmtId="0" fontId="10" fillId="48" borderId="2" xfId="0" applyFont="1" applyFill="1" applyBorder="1" applyAlignment="1">
      <alignment horizontal="justify"/>
    </xf>
    <xf numFmtId="0" fontId="10" fillId="49" borderId="2" xfId="0" applyFont="1" applyFill="1" applyBorder="1" applyAlignment="1">
      <alignment horizontal="justify"/>
    </xf>
    <xf numFmtId="0" fontId="5" fillId="50" borderId="2" xfId="0" applyFont="1" applyFill="1" applyBorder="1" applyAlignment="1">
      <alignment horizontal="justify"/>
    </xf>
    <xf numFmtId="0" fontId="5" fillId="51" borderId="2" xfId="0" applyFont="1" applyFill="1" applyBorder="1" applyAlignment="1">
      <alignment horizontal="justify"/>
    </xf>
    <xf numFmtId="0" fontId="3" fillId="52" borderId="2" xfId="0" applyFont="1" applyFill="1" applyBorder="1" applyAlignment="1">
      <alignment horizontal="justify"/>
    </xf>
    <xf numFmtId="0" fontId="5" fillId="53" borderId="2" xfId="0" applyFont="1" applyFill="1" applyBorder="1" applyAlignment="1">
      <alignment horizontal="justify"/>
    </xf>
    <xf numFmtId="0" fontId="5" fillId="54" borderId="2" xfId="0" applyFont="1" applyFill="1" applyBorder="1" applyAlignment="1">
      <alignment horizontal="justify"/>
    </xf>
    <xf numFmtId="0" fontId="10" fillId="55" borderId="2" xfId="0" applyFont="1" applyFill="1" applyBorder="1" applyAlignment="1">
      <alignment horizontal="justify"/>
    </xf>
    <xf numFmtId="0" fontId="10" fillId="56" borderId="2" xfId="0" applyFont="1" applyFill="1" applyBorder="1" applyAlignment="1">
      <alignment horizontal="justify"/>
    </xf>
    <xf numFmtId="0" fontId="5" fillId="57" borderId="2" xfId="0" applyFont="1" applyFill="1" applyBorder="1" applyAlignment="1">
      <alignment horizontal="justify"/>
    </xf>
    <xf numFmtId="0" fontId="5" fillId="58" borderId="2" xfId="0" applyFont="1" applyFill="1" applyBorder="1" applyAlignment="1">
      <alignment horizontal="justify"/>
    </xf>
    <xf numFmtId="0" fontId="10" fillId="59" borderId="2" xfId="0" applyFont="1" applyFill="1" applyBorder="1" applyAlignment="1">
      <alignment horizontal="justify"/>
    </xf>
    <xf numFmtId="0" fontId="5" fillId="60" borderId="2" xfId="0" applyFont="1" applyFill="1" applyBorder="1" applyAlignment="1">
      <alignment horizontal="justify"/>
    </xf>
    <xf numFmtId="0" fontId="5" fillId="61" borderId="2" xfId="0" applyFont="1" applyFill="1" applyBorder="1" applyAlignment="1">
      <alignment horizontal="justify"/>
    </xf>
    <xf numFmtId="0" fontId="5" fillId="62" borderId="2" xfId="0" applyFont="1" applyFill="1" applyBorder="1" applyAlignment="1">
      <alignment horizontal="justify"/>
    </xf>
    <xf numFmtId="0" fontId="10" fillId="63" borderId="2" xfId="0" applyFont="1" applyFill="1" applyBorder="1" applyAlignment="1">
      <alignment horizontal="justify"/>
    </xf>
    <xf numFmtId="0" fontId="10" fillId="64" borderId="2" xfId="0" applyFont="1" applyFill="1" applyBorder="1" applyAlignment="1">
      <alignment horizontal="justify"/>
    </xf>
    <xf numFmtId="0" fontId="5" fillId="65" borderId="2" xfId="0" applyFont="1" applyFill="1" applyBorder="1" applyAlignment="1">
      <alignment horizontal="justify"/>
    </xf>
    <xf numFmtId="0" fontId="10" fillId="66" borderId="2" xfId="0" applyFont="1" applyFill="1" applyBorder="1" applyAlignment="1">
      <alignment horizontal="justify"/>
    </xf>
    <xf numFmtId="0" fontId="10" fillId="67" borderId="2" xfId="0" applyFont="1" applyFill="1" applyBorder="1" applyAlignment="1">
      <alignment horizontal="justify"/>
    </xf>
    <xf numFmtId="0" fontId="10" fillId="68" borderId="2" xfId="0" applyFont="1" applyFill="1" applyBorder="1" applyAlignment="1">
      <alignment horizontal="justify"/>
    </xf>
    <xf numFmtId="0" fontId="5" fillId="69" borderId="2" xfId="0" applyFont="1" applyFill="1" applyBorder="1" applyAlignment="1">
      <alignment horizontal="justify"/>
    </xf>
    <xf numFmtId="0" fontId="5" fillId="70" borderId="2" xfId="0" applyFont="1" applyFill="1" applyBorder="1" applyAlignment="1">
      <alignment horizontal="justify"/>
    </xf>
    <xf numFmtId="0" fontId="10" fillId="71" borderId="2" xfId="0" applyFont="1" applyFill="1" applyBorder="1" applyAlignment="1">
      <alignment horizontal="justify"/>
    </xf>
    <xf numFmtId="0" fontId="10" fillId="72" borderId="2" xfId="0" applyFont="1" applyFill="1" applyBorder="1" applyAlignment="1">
      <alignment horizontal="justify"/>
    </xf>
    <xf numFmtId="0" fontId="3" fillId="73" borderId="2" xfId="0" applyFont="1" applyFill="1" applyBorder="1" applyAlignment="1">
      <alignment horizontal="justify"/>
    </xf>
    <xf numFmtId="0" fontId="3" fillId="74" borderId="2" xfId="0" applyFont="1" applyFill="1" applyBorder="1" applyAlignment="1">
      <alignment horizontal="justify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N1"/>
    </sheetView>
  </sheetViews>
  <sheetFormatPr defaultRowHeight="15" x14ac:dyDescent="0.25"/>
  <cols>
    <col min="1" max="1" width="7.7109375" customWidth="1"/>
    <col min="2" max="2" width="16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3.7109375" customWidth="1"/>
  </cols>
  <sheetData>
    <row r="1" spans="1:14" ht="18.75" x14ac:dyDescent="0.25">
      <c r="A1" s="84" t="s">
        <v>23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3" spans="1:14" s="1" customFormat="1" x14ac:dyDescent="0.25"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3" t="s">
        <v>13</v>
      </c>
      <c r="C4" s="4">
        <v>1365</v>
      </c>
      <c r="D4" s="5">
        <v>2</v>
      </c>
      <c r="E4" s="6">
        <v>0</v>
      </c>
      <c r="F4" s="7" t="str">
        <f t="shared" ref="F4:F13" si="0">IF(ROW()=4,"",C4-C3)</f>
        <v/>
      </c>
      <c r="G4" s="7" t="str">
        <f t="shared" ref="G4:G13" si="1">IF(ROW()=4,"",(C4-C3)/C3*100)</f>
        <v/>
      </c>
      <c r="H4" s="8">
        <v>21.434065934065931</v>
      </c>
      <c r="I4" s="9">
        <v>29257.5</v>
      </c>
      <c r="J4" s="10">
        <v>1</v>
      </c>
      <c r="K4" s="11">
        <v>0</v>
      </c>
      <c r="L4" s="12" t="str">
        <f t="shared" ref="L4:L13" si="2">IF(ROW()=4,"",H4-H3)</f>
        <v/>
      </c>
      <c r="M4" s="7" t="str">
        <f t="shared" ref="M4:M13" si="3">IF(ROW()=4,"",(H4-H3)/H3*100)</f>
        <v/>
      </c>
    </row>
    <row r="5" spans="1:14" x14ac:dyDescent="0.25">
      <c r="A5" s="2">
        <v>1</v>
      </c>
      <c r="B5" s="3" t="s">
        <v>14</v>
      </c>
      <c r="C5" s="4">
        <v>1359</v>
      </c>
      <c r="D5" s="13">
        <v>3</v>
      </c>
      <c r="E5" s="6">
        <v>0</v>
      </c>
      <c r="F5" s="7">
        <f t="shared" si="0"/>
        <v>-6</v>
      </c>
      <c r="G5" s="7">
        <f t="shared" si="1"/>
        <v>-0.43956043956043955</v>
      </c>
      <c r="H5" s="8">
        <v>19.180647534952168</v>
      </c>
      <c r="I5" s="9">
        <v>26066.5</v>
      </c>
      <c r="J5" s="14">
        <v>2</v>
      </c>
      <c r="K5" s="11">
        <v>0</v>
      </c>
      <c r="L5" s="12">
        <f t="shared" si="2"/>
        <v>-2.2534183991137624</v>
      </c>
      <c r="M5" s="7">
        <f t="shared" si="3"/>
        <v>-10.513256822320042</v>
      </c>
    </row>
    <row r="6" spans="1:14" x14ac:dyDescent="0.25">
      <c r="A6" s="2">
        <v>2</v>
      </c>
      <c r="B6" s="3" t="s">
        <v>15</v>
      </c>
      <c r="C6" s="4">
        <v>1273</v>
      </c>
      <c r="D6" s="15">
        <v>4</v>
      </c>
      <c r="E6" s="6">
        <v>0</v>
      </c>
      <c r="F6" s="7">
        <f t="shared" si="0"/>
        <v>-86</v>
      </c>
      <c r="G6" s="7">
        <f t="shared" si="1"/>
        <v>-6.3281824871228842</v>
      </c>
      <c r="H6" s="8">
        <v>18.556323644933229</v>
      </c>
      <c r="I6" s="9">
        <v>23622.2</v>
      </c>
      <c r="J6" s="16">
        <v>3</v>
      </c>
      <c r="K6" s="11">
        <v>0</v>
      </c>
      <c r="L6" s="12">
        <f t="shared" si="2"/>
        <v>-0.62432389001893895</v>
      </c>
      <c r="M6" s="7">
        <f t="shared" si="3"/>
        <v>-3.2549677422582168</v>
      </c>
    </row>
    <row r="7" spans="1:14" x14ac:dyDescent="0.25">
      <c r="A7" s="2">
        <v>3</v>
      </c>
      <c r="B7" s="3" t="s">
        <v>16</v>
      </c>
      <c r="C7" s="4">
        <v>1088</v>
      </c>
      <c r="D7" s="17">
        <v>6</v>
      </c>
      <c r="E7" s="6">
        <v>0</v>
      </c>
      <c r="F7" s="7">
        <f t="shared" si="0"/>
        <v>-185</v>
      </c>
      <c r="G7" s="7">
        <f t="shared" si="1"/>
        <v>-14.53260015710919</v>
      </c>
      <c r="H7" s="8">
        <v>21.15050551470588</v>
      </c>
      <c r="I7" s="9">
        <v>23011.75</v>
      </c>
      <c r="J7" s="18">
        <v>4</v>
      </c>
      <c r="K7" s="11">
        <v>0</v>
      </c>
      <c r="L7" s="12">
        <f t="shared" si="2"/>
        <v>2.5941818697726511</v>
      </c>
      <c r="M7" s="7">
        <f t="shared" si="3"/>
        <v>13.980042164661144</v>
      </c>
    </row>
    <row r="8" spans="1:14" x14ac:dyDescent="0.25">
      <c r="A8" s="2">
        <v>4</v>
      </c>
      <c r="B8" s="3" t="s">
        <v>17</v>
      </c>
      <c r="C8" s="4">
        <v>1811</v>
      </c>
      <c r="D8" s="19">
        <v>1</v>
      </c>
      <c r="E8" s="6">
        <v>0</v>
      </c>
      <c r="F8" s="7">
        <f t="shared" si="0"/>
        <v>723</v>
      </c>
      <c r="G8" s="7">
        <f t="shared" si="1"/>
        <v>66.452205882352942</v>
      </c>
      <c r="H8" s="8">
        <v>12.68249585864163</v>
      </c>
      <c r="I8" s="9">
        <v>22968</v>
      </c>
      <c r="J8" s="20">
        <v>5</v>
      </c>
      <c r="K8" s="11">
        <v>0</v>
      </c>
      <c r="L8" s="12">
        <f t="shared" si="2"/>
        <v>-8.4680096560642504</v>
      </c>
      <c r="M8" s="7">
        <f t="shared" si="3"/>
        <v>-40.036913775779354</v>
      </c>
    </row>
    <row r="9" spans="1:14" x14ac:dyDescent="0.25">
      <c r="A9" s="2">
        <v>5</v>
      </c>
      <c r="B9" s="3" t="s">
        <v>18</v>
      </c>
      <c r="C9" s="4">
        <v>993</v>
      </c>
      <c r="D9" s="21">
        <v>7</v>
      </c>
      <c r="E9" s="6">
        <v>0</v>
      </c>
      <c r="F9" s="7">
        <f t="shared" si="0"/>
        <v>-818</v>
      </c>
      <c r="G9" s="7">
        <f t="shared" si="1"/>
        <v>-45.168415240198783</v>
      </c>
      <c r="H9" s="8">
        <v>21.230614300100701</v>
      </c>
      <c r="I9" s="9">
        <v>21082</v>
      </c>
      <c r="J9" s="22">
        <v>6</v>
      </c>
      <c r="K9" s="11">
        <v>0</v>
      </c>
      <c r="L9" s="12">
        <f t="shared" si="2"/>
        <v>8.5481184414590707</v>
      </c>
      <c r="M9" s="7">
        <f t="shared" si="3"/>
        <v>67.400916481549913</v>
      </c>
    </row>
    <row r="10" spans="1:14" x14ac:dyDescent="0.25">
      <c r="A10" s="2">
        <v>6</v>
      </c>
      <c r="B10" s="3" t="s">
        <v>19</v>
      </c>
      <c r="C10" s="4">
        <v>967</v>
      </c>
      <c r="D10" s="23">
        <v>8</v>
      </c>
      <c r="E10" s="6">
        <v>0</v>
      </c>
      <c r="F10" s="7">
        <f t="shared" si="0"/>
        <v>-26</v>
      </c>
      <c r="G10" s="7">
        <f t="shared" si="1"/>
        <v>-2.6183282980866065</v>
      </c>
      <c r="H10" s="8">
        <v>21.286452947259569</v>
      </c>
      <c r="I10" s="9">
        <v>20584</v>
      </c>
      <c r="J10" s="24">
        <v>7</v>
      </c>
      <c r="K10" s="11">
        <v>0</v>
      </c>
      <c r="L10" s="12">
        <f t="shared" si="2"/>
        <v>5.5838647158868326E-2</v>
      </c>
      <c r="M10" s="7">
        <f t="shared" si="3"/>
        <v>0.26301003998081895</v>
      </c>
    </row>
    <row r="11" spans="1:14" x14ac:dyDescent="0.25">
      <c r="A11" s="2">
        <v>7</v>
      </c>
      <c r="B11" s="3" t="s">
        <v>20</v>
      </c>
      <c r="C11" s="4">
        <v>895</v>
      </c>
      <c r="D11" s="25">
        <v>9</v>
      </c>
      <c r="E11" s="6">
        <v>0</v>
      </c>
      <c r="F11" s="7">
        <f t="shared" si="0"/>
        <v>-72</v>
      </c>
      <c r="G11" s="7">
        <f t="shared" si="1"/>
        <v>-7.4457083764219236</v>
      </c>
      <c r="H11" s="8">
        <v>21.491899441340781</v>
      </c>
      <c r="I11" s="9">
        <v>19235.25</v>
      </c>
      <c r="J11" s="26">
        <v>8</v>
      </c>
      <c r="K11" s="11">
        <v>0</v>
      </c>
      <c r="L11" s="12">
        <f t="shared" si="2"/>
        <v>0.20544649408121174</v>
      </c>
      <c r="M11" s="7">
        <f t="shared" si="3"/>
        <v>0.96515137862675726</v>
      </c>
    </row>
    <row r="12" spans="1:14" x14ac:dyDescent="0.25">
      <c r="A12" s="2">
        <v>8</v>
      </c>
      <c r="B12" s="3" t="s">
        <v>21</v>
      </c>
      <c r="C12" s="4">
        <v>1159</v>
      </c>
      <c r="D12" s="27">
        <v>5</v>
      </c>
      <c r="E12" s="6">
        <v>0</v>
      </c>
      <c r="F12" s="7">
        <f t="shared" si="0"/>
        <v>264</v>
      </c>
      <c r="G12" s="7">
        <f t="shared" si="1"/>
        <v>29.497206703910617</v>
      </c>
      <c r="H12" s="8">
        <v>16.303710094909409</v>
      </c>
      <c r="I12" s="9">
        <v>18896</v>
      </c>
      <c r="J12" s="28">
        <v>9</v>
      </c>
      <c r="K12" s="11">
        <v>0</v>
      </c>
      <c r="L12" s="12">
        <f t="shared" si="2"/>
        <v>-5.188189346431372</v>
      </c>
      <c r="M12" s="7">
        <f t="shared" si="3"/>
        <v>-24.140208549699526</v>
      </c>
    </row>
    <row r="13" spans="1:14" x14ac:dyDescent="0.25">
      <c r="A13" s="2">
        <v>9</v>
      </c>
      <c r="B13" s="3" t="s">
        <v>22</v>
      </c>
      <c r="C13" s="4">
        <v>844</v>
      </c>
      <c r="D13" s="29">
        <v>10</v>
      </c>
      <c r="E13" s="6">
        <v>0</v>
      </c>
      <c r="F13" s="7">
        <f t="shared" si="0"/>
        <v>-315</v>
      </c>
      <c r="G13" s="7">
        <f t="shared" si="1"/>
        <v>-27.1786022433132</v>
      </c>
      <c r="H13" s="8">
        <v>20.801836492890999</v>
      </c>
      <c r="I13" s="9">
        <v>17556.75</v>
      </c>
      <c r="J13" s="30">
        <v>10</v>
      </c>
      <c r="K13" s="11">
        <v>0</v>
      </c>
      <c r="L13" s="12">
        <f t="shared" si="2"/>
        <v>4.49812639798159</v>
      </c>
      <c r="M13" s="7">
        <f t="shared" si="3"/>
        <v>27.58958771835659</v>
      </c>
    </row>
    <row r="14" spans="1:14" ht="18.75" x14ac:dyDescent="0.3">
      <c r="A14" s="2" t="s">
        <v>12</v>
      </c>
      <c r="B14" s="31"/>
      <c r="C14" s="32">
        <f>SUBTOTAL(9,C4:C13)</f>
        <v>11754</v>
      </c>
      <c r="D14" s="31"/>
      <c r="E14" s="33">
        <f>SUBTOTAL(9,E4:E13)</f>
        <v>0</v>
      </c>
      <c r="F14" s="34">
        <f>SUBTOTAL(9,F4:F13)</f>
        <v>-521</v>
      </c>
      <c r="G14" s="34">
        <f>SUBTOTAL(9,G4:G13)</f>
        <v>-7.7619846555494689</v>
      </c>
      <c r="H14" s="35">
        <f>SUBTOTAL(9,H4:H13)</f>
        <v>194.1185517638003</v>
      </c>
      <c r="I14" s="36">
        <f>SUBTOTAL(9,I4:I13)</f>
        <v>222279.95</v>
      </c>
      <c r="J14" s="31"/>
      <c r="K14" s="33">
        <f>SUBTOTAL(9,K4:K13)</f>
        <v>0</v>
      </c>
      <c r="L14" s="37">
        <f>SUBTOTAL(9,L4:L13)</f>
        <v>-0.63222944117493185</v>
      </c>
      <c r="M14" s="34">
        <f>SUBTOTAL(9,M4:M13)</f>
        <v>32.253360893118085</v>
      </c>
    </row>
  </sheetData>
  <autoFilter ref="A3:M13" xr:uid="{00000000-0009-0000-0000-000000000000}"/>
  <mergeCells count="1">
    <mergeCell ref="A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7.7109375" customWidth="1"/>
    <col min="2" max="2" width="16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3.7109375" customWidth="1"/>
  </cols>
  <sheetData>
    <row r="1" spans="1:14" ht="18.75" x14ac:dyDescent="0.25">
      <c r="A1" s="84" t="s">
        <v>26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3" spans="1:14" s="1" customFormat="1" x14ac:dyDescent="0.25"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3" t="s">
        <v>17</v>
      </c>
      <c r="C4" s="4">
        <v>1811</v>
      </c>
      <c r="D4" s="19">
        <v>1</v>
      </c>
      <c r="E4" s="6">
        <v>0</v>
      </c>
      <c r="F4" s="7" t="str">
        <f t="shared" ref="F4:F13" si="0">IF(ROW()=4,"",C4-C3)</f>
        <v/>
      </c>
      <c r="G4" s="7" t="str">
        <f t="shared" ref="G4:G13" si="1">IF(ROW()=4,"",(C4-C3)/C3*100)</f>
        <v/>
      </c>
      <c r="H4" s="8">
        <v>12.68249585864163</v>
      </c>
      <c r="I4" s="9">
        <v>22968</v>
      </c>
      <c r="J4" s="20">
        <v>5</v>
      </c>
      <c r="K4" s="11">
        <v>0</v>
      </c>
      <c r="L4" s="12" t="str">
        <f t="shared" ref="L4:L13" si="2">IF(ROW()=4,"",H4-H3)</f>
        <v/>
      </c>
      <c r="M4" s="7" t="str">
        <f t="shared" ref="M4:M13" si="3">IF(ROW()=4,"",(H4-H3)/H3*100)</f>
        <v/>
      </c>
    </row>
    <row r="5" spans="1:14" x14ac:dyDescent="0.25">
      <c r="A5" s="2">
        <v>1</v>
      </c>
      <c r="B5" s="3" t="s">
        <v>13</v>
      </c>
      <c r="C5" s="4">
        <v>1365</v>
      </c>
      <c r="D5" s="5">
        <v>2</v>
      </c>
      <c r="E5" s="6">
        <v>0</v>
      </c>
      <c r="F5" s="7">
        <f t="shared" si="0"/>
        <v>-446</v>
      </c>
      <c r="G5" s="7">
        <f t="shared" si="1"/>
        <v>-24.627277747101047</v>
      </c>
      <c r="H5" s="8">
        <v>21.434065934065931</v>
      </c>
      <c r="I5" s="9">
        <v>29257.5</v>
      </c>
      <c r="J5" s="10">
        <v>1</v>
      </c>
      <c r="K5" s="11">
        <v>0</v>
      </c>
      <c r="L5" s="12">
        <f t="shared" si="2"/>
        <v>8.7515700754243007</v>
      </c>
      <c r="M5" s="7">
        <f t="shared" si="3"/>
        <v>69.005108875798555</v>
      </c>
    </row>
    <row r="6" spans="1:14" x14ac:dyDescent="0.25">
      <c r="A6" s="2">
        <v>2</v>
      </c>
      <c r="B6" s="3" t="s">
        <v>14</v>
      </c>
      <c r="C6" s="4">
        <v>1359</v>
      </c>
      <c r="D6" s="13">
        <v>3</v>
      </c>
      <c r="E6" s="6">
        <v>0</v>
      </c>
      <c r="F6" s="7">
        <f t="shared" si="0"/>
        <v>-6</v>
      </c>
      <c r="G6" s="7">
        <f t="shared" si="1"/>
        <v>-0.43956043956043955</v>
      </c>
      <c r="H6" s="8">
        <v>19.180647534952168</v>
      </c>
      <c r="I6" s="9">
        <v>26066.5</v>
      </c>
      <c r="J6" s="14">
        <v>2</v>
      </c>
      <c r="K6" s="11">
        <v>0</v>
      </c>
      <c r="L6" s="12">
        <f t="shared" si="2"/>
        <v>-2.2534183991137624</v>
      </c>
      <c r="M6" s="7">
        <f t="shared" si="3"/>
        <v>-10.513256822320042</v>
      </c>
    </row>
    <row r="7" spans="1:14" x14ac:dyDescent="0.25">
      <c r="A7" s="2">
        <v>3</v>
      </c>
      <c r="B7" s="3" t="s">
        <v>15</v>
      </c>
      <c r="C7" s="4">
        <v>1273</v>
      </c>
      <c r="D7" s="15">
        <v>4</v>
      </c>
      <c r="E7" s="6">
        <v>0</v>
      </c>
      <c r="F7" s="7">
        <f t="shared" si="0"/>
        <v>-86</v>
      </c>
      <c r="G7" s="7">
        <f t="shared" si="1"/>
        <v>-6.3281824871228842</v>
      </c>
      <c r="H7" s="8">
        <v>18.556323644933229</v>
      </c>
      <c r="I7" s="9">
        <v>23622.2</v>
      </c>
      <c r="J7" s="16">
        <v>3</v>
      </c>
      <c r="K7" s="11">
        <v>0</v>
      </c>
      <c r="L7" s="12">
        <f t="shared" si="2"/>
        <v>-0.62432389001893895</v>
      </c>
      <c r="M7" s="7">
        <f t="shared" si="3"/>
        <v>-3.2549677422582168</v>
      </c>
    </row>
    <row r="8" spans="1:14" x14ac:dyDescent="0.25">
      <c r="A8" s="2">
        <v>4</v>
      </c>
      <c r="B8" s="3" t="s">
        <v>21</v>
      </c>
      <c r="C8" s="4">
        <v>1159</v>
      </c>
      <c r="D8" s="27">
        <v>5</v>
      </c>
      <c r="E8" s="6">
        <v>0</v>
      </c>
      <c r="F8" s="7">
        <f t="shared" si="0"/>
        <v>-114</v>
      </c>
      <c r="G8" s="7">
        <f t="shared" si="1"/>
        <v>-8.9552238805970141</v>
      </c>
      <c r="H8" s="8">
        <v>16.303710094909409</v>
      </c>
      <c r="I8" s="9">
        <v>18896</v>
      </c>
      <c r="J8" s="26">
        <v>8</v>
      </c>
      <c r="K8" s="11">
        <v>0</v>
      </c>
      <c r="L8" s="12">
        <f t="shared" si="2"/>
        <v>-2.2526135500238205</v>
      </c>
      <c r="M8" s="7">
        <f t="shared" si="3"/>
        <v>-12.139331007189522</v>
      </c>
    </row>
    <row r="9" spans="1:14" x14ac:dyDescent="0.25">
      <c r="A9" s="2">
        <v>5</v>
      </c>
      <c r="B9" s="3" t="s">
        <v>16</v>
      </c>
      <c r="C9" s="4">
        <v>1088</v>
      </c>
      <c r="D9" s="17">
        <v>6</v>
      </c>
      <c r="E9" s="6">
        <v>0</v>
      </c>
      <c r="F9" s="7">
        <f t="shared" si="0"/>
        <v>-71</v>
      </c>
      <c r="G9" s="7">
        <f t="shared" si="1"/>
        <v>-6.1259706643658323</v>
      </c>
      <c r="H9" s="8">
        <v>21.15050551470588</v>
      </c>
      <c r="I9" s="9">
        <v>23011.75</v>
      </c>
      <c r="J9" s="18">
        <v>4</v>
      </c>
      <c r="K9" s="11">
        <v>0</v>
      </c>
      <c r="L9" s="12">
        <f t="shared" si="2"/>
        <v>4.8467954197964715</v>
      </c>
      <c r="M9" s="7">
        <f t="shared" si="3"/>
        <v>29.728174701228347</v>
      </c>
    </row>
    <row r="10" spans="1:14" x14ac:dyDescent="0.25">
      <c r="A10" s="2">
        <v>6</v>
      </c>
      <c r="B10" s="3" t="s">
        <v>24</v>
      </c>
      <c r="C10" s="4">
        <v>1001</v>
      </c>
      <c r="D10" s="21">
        <v>7</v>
      </c>
      <c r="E10" s="6">
        <v>0</v>
      </c>
      <c r="F10" s="7">
        <f t="shared" si="0"/>
        <v>-87</v>
      </c>
      <c r="G10" s="7">
        <f t="shared" si="1"/>
        <v>-7.9963235294117645</v>
      </c>
      <c r="H10" s="8">
        <v>10.6993006993007</v>
      </c>
      <c r="I10" s="9">
        <v>10710</v>
      </c>
      <c r="J10" s="30">
        <v>10</v>
      </c>
      <c r="K10" s="11">
        <v>0</v>
      </c>
      <c r="L10" s="12">
        <f t="shared" si="2"/>
        <v>-10.45120481540518</v>
      </c>
      <c r="M10" s="7">
        <f t="shared" si="3"/>
        <v>-49.41349892624784</v>
      </c>
    </row>
    <row r="11" spans="1:14" x14ac:dyDescent="0.25">
      <c r="A11" s="2">
        <v>7</v>
      </c>
      <c r="B11" s="3" t="s">
        <v>18</v>
      </c>
      <c r="C11" s="4">
        <v>993</v>
      </c>
      <c r="D11" s="23">
        <v>8</v>
      </c>
      <c r="E11" s="6">
        <v>0</v>
      </c>
      <c r="F11" s="7">
        <f t="shared" si="0"/>
        <v>-8</v>
      </c>
      <c r="G11" s="7">
        <f t="shared" si="1"/>
        <v>-0.79920079920079923</v>
      </c>
      <c r="H11" s="8">
        <v>21.230614300100701</v>
      </c>
      <c r="I11" s="9">
        <v>21082</v>
      </c>
      <c r="J11" s="22">
        <v>6</v>
      </c>
      <c r="K11" s="11">
        <v>0</v>
      </c>
      <c r="L11" s="12">
        <f t="shared" si="2"/>
        <v>10.531313600800001</v>
      </c>
      <c r="M11" s="7">
        <f t="shared" si="3"/>
        <v>98.429924504209154</v>
      </c>
    </row>
    <row r="12" spans="1:14" x14ac:dyDescent="0.25">
      <c r="A12" s="2">
        <v>8</v>
      </c>
      <c r="B12" s="3" t="s">
        <v>19</v>
      </c>
      <c r="C12" s="4">
        <v>967</v>
      </c>
      <c r="D12" s="25">
        <v>9</v>
      </c>
      <c r="E12" s="6">
        <v>0</v>
      </c>
      <c r="F12" s="7">
        <f t="shared" si="0"/>
        <v>-26</v>
      </c>
      <c r="G12" s="7">
        <f t="shared" si="1"/>
        <v>-2.6183282980866065</v>
      </c>
      <c r="H12" s="8">
        <v>21.286452947259569</v>
      </c>
      <c r="I12" s="9">
        <v>20584</v>
      </c>
      <c r="J12" s="24">
        <v>7</v>
      </c>
      <c r="K12" s="11">
        <v>0</v>
      </c>
      <c r="L12" s="12">
        <f t="shared" si="2"/>
        <v>5.5838647158868326E-2</v>
      </c>
      <c r="M12" s="7">
        <f t="shared" si="3"/>
        <v>0.26301003998081895</v>
      </c>
    </row>
    <row r="13" spans="1:14" x14ac:dyDescent="0.25">
      <c r="A13" s="2">
        <v>9</v>
      </c>
      <c r="B13" s="3" t="s">
        <v>25</v>
      </c>
      <c r="C13" s="4">
        <v>926</v>
      </c>
      <c r="D13" s="29">
        <v>10</v>
      </c>
      <c r="E13" s="6">
        <v>0</v>
      </c>
      <c r="F13" s="7">
        <f t="shared" si="0"/>
        <v>-41</v>
      </c>
      <c r="G13" s="7">
        <f t="shared" si="1"/>
        <v>-4.239917269906929</v>
      </c>
      <c r="H13" s="8">
        <v>17.292656587473001</v>
      </c>
      <c r="I13" s="9">
        <v>16013</v>
      </c>
      <c r="J13" s="28">
        <v>9</v>
      </c>
      <c r="K13" s="11">
        <v>0</v>
      </c>
      <c r="L13" s="12">
        <f t="shared" si="2"/>
        <v>-3.9937963597865682</v>
      </c>
      <c r="M13" s="7">
        <f t="shared" si="3"/>
        <v>-18.762150601989948</v>
      </c>
    </row>
    <row r="14" spans="1:14" ht="18.75" x14ac:dyDescent="0.3">
      <c r="A14" s="2" t="s">
        <v>12</v>
      </c>
      <c r="B14" s="31"/>
      <c r="C14" s="32">
        <f>SUBTOTAL(9,C4:C13)</f>
        <v>11942</v>
      </c>
      <c r="D14" s="31"/>
      <c r="E14" s="33">
        <f>SUBTOTAL(9,E4:E13)</f>
        <v>0</v>
      </c>
      <c r="F14" s="34">
        <f>SUBTOTAL(9,F4:F13)</f>
        <v>-885</v>
      </c>
      <c r="G14" s="34">
        <f>SUBTOTAL(9,G4:G13)</f>
        <v>-62.129985115353321</v>
      </c>
      <c r="H14" s="35">
        <f>SUBTOTAL(9,H4:H13)</f>
        <v>179.81677311634223</v>
      </c>
      <c r="I14" s="36">
        <f>SUBTOTAL(9,I4:I13)</f>
        <v>212210.95</v>
      </c>
      <c r="J14" s="31"/>
      <c r="K14" s="33">
        <f>SUBTOTAL(9,K4:K13)</f>
        <v>0</v>
      </c>
      <c r="L14" s="37">
        <f>SUBTOTAL(9,L4:L13)</f>
        <v>4.6101607288313708</v>
      </c>
      <c r="M14" s="34">
        <f>SUBTOTAL(9,M4:M13)</f>
        <v>103.34301302121131</v>
      </c>
    </row>
  </sheetData>
  <autoFilter ref="A3:M13" xr:uid="{00000000-0009-0000-0000-000001000000}"/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7.7109375" customWidth="1"/>
    <col min="2" max="2" width="17.7109375" customWidth="1"/>
    <col min="3" max="3" width="8.7109375" customWidth="1"/>
    <col min="4" max="4" width="13.7109375" customWidth="1"/>
    <col min="5" max="5" width="23.7109375" customWidth="1"/>
    <col min="6" max="6" width="13.7109375" customWidth="1"/>
    <col min="7" max="7" width="22.7109375" customWidth="1"/>
    <col min="8" max="9" width="21.7109375" customWidth="1"/>
    <col min="10" max="10" width="13.7109375" customWidth="1"/>
    <col min="11" max="11" width="23.7109375" customWidth="1"/>
    <col min="12" max="12" width="22.7109375" customWidth="1"/>
    <col min="13" max="13" width="23.7109375" customWidth="1"/>
  </cols>
  <sheetData>
    <row r="1" spans="1:14" ht="18.75" x14ac:dyDescent="0.25">
      <c r="A1" s="84" t="s">
        <v>37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3" spans="1:14" s="1" customFormat="1" x14ac:dyDescent="0.25"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81</v>
      </c>
      <c r="B4" s="3" t="s">
        <v>27</v>
      </c>
      <c r="C4" s="4">
        <v>300</v>
      </c>
      <c r="D4" s="19">
        <v>1.5</v>
      </c>
      <c r="E4" s="6">
        <v>0</v>
      </c>
      <c r="F4" s="7" t="str">
        <f t="shared" ref="F4:F13" si="0">IF(ROW()=4,"",C4-C3)</f>
        <v/>
      </c>
      <c r="G4" s="7" t="str">
        <f t="shared" ref="G4:G13" si="1">IF(ROW()=4,"",(C4-C3)/C3*100)</f>
        <v/>
      </c>
      <c r="H4" s="8">
        <v>12.16</v>
      </c>
      <c r="I4" s="9">
        <v>3648</v>
      </c>
      <c r="J4" s="10">
        <v>1</v>
      </c>
      <c r="K4" s="11">
        <v>0</v>
      </c>
      <c r="L4" s="12" t="str">
        <f t="shared" ref="L4:L13" si="2">IF(ROW()=4,"",H4-H3)</f>
        <v/>
      </c>
      <c r="M4" s="7" t="str">
        <f t="shared" ref="M4:M13" si="3">IF(ROW()=4,"",(H4-H3)/H3*100)</f>
        <v/>
      </c>
    </row>
    <row r="5" spans="1:14" x14ac:dyDescent="0.25">
      <c r="A5" s="2">
        <v>82</v>
      </c>
      <c r="B5" s="3" t="s">
        <v>28</v>
      </c>
      <c r="C5" s="4">
        <v>300</v>
      </c>
      <c r="D5" s="19">
        <v>1.5</v>
      </c>
      <c r="E5" s="6">
        <v>0</v>
      </c>
      <c r="F5" s="7">
        <f t="shared" si="0"/>
        <v>0</v>
      </c>
      <c r="G5" s="7">
        <f t="shared" si="1"/>
        <v>0</v>
      </c>
      <c r="H5" s="8">
        <v>12.08</v>
      </c>
      <c r="I5" s="9">
        <v>3624</v>
      </c>
      <c r="J5" s="14">
        <v>2</v>
      </c>
      <c r="K5" s="11">
        <v>0</v>
      </c>
      <c r="L5" s="12">
        <f t="shared" si="2"/>
        <v>-8.0000000000000071E-2</v>
      </c>
      <c r="M5" s="7">
        <f t="shared" si="3"/>
        <v>-0.65789473684210587</v>
      </c>
    </row>
    <row r="6" spans="1:14" x14ac:dyDescent="0.25">
      <c r="A6" s="2">
        <v>83</v>
      </c>
      <c r="B6" s="3" t="s">
        <v>29</v>
      </c>
      <c r="C6" s="4">
        <v>288</v>
      </c>
      <c r="D6" s="38">
        <v>3.5</v>
      </c>
      <c r="E6" s="6">
        <v>0</v>
      </c>
      <c r="F6" s="7">
        <f t="shared" si="0"/>
        <v>-12</v>
      </c>
      <c r="G6" s="7">
        <f t="shared" si="1"/>
        <v>-4</v>
      </c>
      <c r="H6" s="8">
        <v>12.5</v>
      </c>
      <c r="I6" s="9">
        <v>3600</v>
      </c>
      <c r="J6" s="16">
        <v>3</v>
      </c>
      <c r="K6" s="11">
        <v>0</v>
      </c>
      <c r="L6" s="12">
        <f t="shared" si="2"/>
        <v>0.41999999999999993</v>
      </c>
      <c r="M6" s="7">
        <f t="shared" si="3"/>
        <v>3.4768211920529799</v>
      </c>
    </row>
    <row r="7" spans="1:14" x14ac:dyDescent="0.25">
      <c r="A7" s="2">
        <v>84</v>
      </c>
      <c r="B7" s="3" t="s">
        <v>30</v>
      </c>
      <c r="C7" s="4">
        <v>288</v>
      </c>
      <c r="D7" s="38">
        <v>3.5</v>
      </c>
      <c r="E7" s="6">
        <v>0</v>
      </c>
      <c r="F7" s="7">
        <f t="shared" si="0"/>
        <v>0</v>
      </c>
      <c r="G7" s="7">
        <f t="shared" si="1"/>
        <v>0</v>
      </c>
      <c r="H7" s="8">
        <v>12.04166666666667</v>
      </c>
      <c r="I7" s="9">
        <v>3468</v>
      </c>
      <c r="J7" s="18">
        <v>4</v>
      </c>
      <c r="K7" s="11">
        <v>0</v>
      </c>
      <c r="L7" s="12">
        <f t="shared" si="2"/>
        <v>-0.45833333333333037</v>
      </c>
      <c r="M7" s="7">
        <f t="shared" si="3"/>
        <v>-3.666666666666643</v>
      </c>
    </row>
    <row r="8" spans="1:14" x14ac:dyDescent="0.25">
      <c r="A8" s="2">
        <v>85</v>
      </c>
      <c r="B8" s="3" t="s">
        <v>31</v>
      </c>
      <c r="C8" s="4">
        <v>194</v>
      </c>
      <c r="D8" s="39">
        <v>5</v>
      </c>
      <c r="E8" s="6">
        <v>0</v>
      </c>
      <c r="F8" s="7">
        <f t="shared" si="0"/>
        <v>-94</v>
      </c>
      <c r="G8" s="7">
        <f t="shared" si="1"/>
        <v>-32.638888888888893</v>
      </c>
      <c r="H8" s="8">
        <v>12.628865979381439</v>
      </c>
      <c r="I8" s="9">
        <v>2450</v>
      </c>
      <c r="J8" s="20">
        <v>5</v>
      </c>
      <c r="K8" s="11">
        <v>0</v>
      </c>
      <c r="L8" s="12">
        <f t="shared" si="2"/>
        <v>0.58719931271476966</v>
      </c>
      <c r="M8" s="7">
        <f t="shared" si="3"/>
        <v>4.8763956765240373</v>
      </c>
    </row>
    <row r="9" spans="1:14" x14ac:dyDescent="0.25">
      <c r="A9" s="2">
        <v>86</v>
      </c>
      <c r="B9" s="3" t="s">
        <v>32</v>
      </c>
      <c r="C9" s="4">
        <v>160</v>
      </c>
      <c r="D9" s="40">
        <v>6</v>
      </c>
      <c r="E9" s="6">
        <v>0</v>
      </c>
      <c r="F9" s="7">
        <f t="shared" si="0"/>
        <v>-34</v>
      </c>
      <c r="G9" s="7">
        <f t="shared" si="1"/>
        <v>-17.525773195876287</v>
      </c>
      <c r="H9" s="8">
        <v>12.15</v>
      </c>
      <c r="I9" s="9">
        <v>1944</v>
      </c>
      <c r="J9" s="22">
        <v>6</v>
      </c>
      <c r="K9" s="11">
        <v>0</v>
      </c>
      <c r="L9" s="12">
        <f t="shared" si="2"/>
        <v>-0.47886597938143893</v>
      </c>
      <c r="M9" s="7">
        <f t="shared" si="3"/>
        <v>-3.7918367346938444</v>
      </c>
    </row>
    <row r="10" spans="1:14" x14ac:dyDescent="0.25">
      <c r="A10" s="2">
        <v>87</v>
      </c>
      <c r="B10" s="3" t="s">
        <v>33</v>
      </c>
      <c r="C10" s="4">
        <v>94</v>
      </c>
      <c r="D10" s="41">
        <v>9</v>
      </c>
      <c r="E10" s="6">
        <v>0</v>
      </c>
      <c r="F10" s="7">
        <f t="shared" si="0"/>
        <v>-66</v>
      </c>
      <c r="G10" s="7">
        <f t="shared" si="1"/>
        <v>-41.25</v>
      </c>
      <c r="H10" s="8">
        <v>20.465425531914889</v>
      </c>
      <c r="I10" s="9">
        <v>1923.75</v>
      </c>
      <c r="J10" s="24">
        <v>7</v>
      </c>
      <c r="K10" s="11">
        <v>0</v>
      </c>
      <c r="L10" s="12">
        <f t="shared" si="2"/>
        <v>8.3154255319148884</v>
      </c>
      <c r="M10" s="7">
        <f t="shared" si="3"/>
        <v>68.439716312056703</v>
      </c>
    </row>
    <row r="11" spans="1:14" x14ac:dyDescent="0.25">
      <c r="A11" s="2">
        <v>88</v>
      </c>
      <c r="B11" s="3" t="s">
        <v>34</v>
      </c>
      <c r="C11" s="4">
        <v>96</v>
      </c>
      <c r="D11" s="42">
        <v>8</v>
      </c>
      <c r="E11" s="6">
        <v>0</v>
      </c>
      <c r="F11" s="7">
        <f t="shared" si="0"/>
        <v>2</v>
      </c>
      <c r="G11" s="7">
        <f t="shared" si="1"/>
        <v>2.1276595744680851</v>
      </c>
      <c r="H11" s="8">
        <v>12.75</v>
      </c>
      <c r="I11" s="9">
        <v>1224</v>
      </c>
      <c r="J11" s="26">
        <v>8</v>
      </c>
      <c r="K11" s="11">
        <v>0</v>
      </c>
      <c r="L11" s="12">
        <f t="shared" si="2"/>
        <v>-7.7154255319148888</v>
      </c>
      <c r="M11" s="7">
        <f t="shared" si="3"/>
        <v>-37.699805068226105</v>
      </c>
    </row>
    <row r="12" spans="1:14" x14ac:dyDescent="0.25">
      <c r="A12" s="2">
        <v>89</v>
      </c>
      <c r="B12" s="3" t="s">
        <v>35</v>
      </c>
      <c r="C12" s="4">
        <v>99</v>
      </c>
      <c r="D12" s="43">
        <v>7</v>
      </c>
      <c r="E12" s="6">
        <v>0</v>
      </c>
      <c r="F12" s="7">
        <f t="shared" si="0"/>
        <v>3</v>
      </c>
      <c r="G12" s="7">
        <f t="shared" si="1"/>
        <v>3.125</v>
      </c>
      <c r="H12" s="8">
        <v>12.25</v>
      </c>
      <c r="I12" s="9">
        <v>1212.75</v>
      </c>
      <c r="J12" s="28">
        <v>9</v>
      </c>
      <c r="K12" s="11">
        <v>0</v>
      </c>
      <c r="L12" s="12">
        <f t="shared" si="2"/>
        <v>-0.5</v>
      </c>
      <c r="M12" s="7">
        <f t="shared" si="3"/>
        <v>-3.9215686274509802</v>
      </c>
    </row>
    <row r="13" spans="1:14" x14ac:dyDescent="0.25">
      <c r="A13" s="2">
        <v>90</v>
      </c>
      <c r="B13" s="3" t="s">
        <v>36</v>
      </c>
      <c r="C13" s="4">
        <v>28</v>
      </c>
      <c r="D13" s="29">
        <v>10</v>
      </c>
      <c r="E13" s="6">
        <v>0</v>
      </c>
      <c r="F13" s="7">
        <f t="shared" si="0"/>
        <v>-71</v>
      </c>
      <c r="G13" s="7">
        <f t="shared" si="1"/>
        <v>-71.717171717171709</v>
      </c>
      <c r="H13" s="8">
        <v>35.950000000000003</v>
      </c>
      <c r="I13" s="9">
        <v>1006.6</v>
      </c>
      <c r="J13" s="30">
        <v>10</v>
      </c>
      <c r="K13" s="11">
        <v>0</v>
      </c>
      <c r="L13" s="12">
        <f t="shared" si="2"/>
        <v>23.700000000000003</v>
      </c>
      <c r="M13" s="7">
        <f t="shared" si="3"/>
        <v>193.46938775510208</v>
      </c>
    </row>
    <row r="14" spans="1:14" ht="18.75" x14ac:dyDescent="0.3">
      <c r="A14" s="2" t="s">
        <v>12</v>
      </c>
      <c r="B14" s="31"/>
      <c r="C14" s="32">
        <f>SUBTOTAL(9,C4:C13)</f>
        <v>1847</v>
      </c>
      <c r="D14" s="31"/>
      <c r="E14" s="33">
        <f>SUBTOTAL(9,E4:E13)</f>
        <v>0</v>
      </c>
      <c r="F14" s="34">
        <f>SUBTOTAL(9,F4:F13)</f>
        <v>-272</v>
      </c>
      <c r="G14" s="34">
        <f>SUBTOTAL(9,G4:G13)</f>
        <v>-161.87917422746881</v>
      </c>
      <c r="H14" s="35">
        <f>SUBTOTAL(9,H4:H13)</f>
        <v>154.97595817796301</v>
      </c>
      <c r="I14" s="36">
        <f>SUBTOTAL(9,I4:I13)</f>
        <v>24101.1</v>
      </c>
      <c r="J14" s="31"/>
      <c r="K14" s="33">
        <f>SUBTOTAL(9,K4:K13)</f>
        <v>0</v>
      </c>
      <c r="L14" s="37">
        <f>SUBTOTAL(9,L4:L13)</f>
        <v>23.790000000000003</v>
      </c>
      <c r="M14" s="34">
        <f>SUBTOTAL(9,M4:M13)</f>
        <v>220.52454910185611</v>
      </c>
    </row>
  </sheetData>
  <autoFilter ref="A3:M13" xr:uid="{00000000-0009-0000-0000-000002000000}"/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7.7109375" customWidth="1"/>
    <col min="2" max="2" width="17.7109375" customWidth="1"/>
    <col min="3" max="3" width="8.7109375" customWidth="1"/>
    <col min="4" max="4" width="13.7109375" customWidth="1"/>
    <col min="5" max="5" width="23.7109375" customWidth="1"/>
    <col min="6" max="6" width="13.7109375" customWidth="1"/>
    <col min="7" max="7" width="22.7109375" customWidth="1"/>
    <col min="8" max="9" width="21.7109375" customWidth="1"/>
    <col min="10" max="10" width="13.7109375" customWidth="1"/>
    <col min="11" max="11" width="22.7109375" customWidth="1"/>
    <col min="12" max="12" width="21.7109375" customWidth="1"/>
    <col min="13" max="13" width="23.7109375" customWidth="1"/>
  </cols>
  <sheetData>
    <row r="1" spans="1:14" ht="18.75" x14ac:dyDescent="0.25">
      <c r="A1" s="84" t="s">
        <v>42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3" spans="1:14" s="1" customFormat="1" x14ac:dyDescent="0.25"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81</v>
      </c>
      <c r="B4" s="3" t="s">
        <v>38</v>
      </c>
      <c r="C4" s="4">
        <v>266</v>
      </c>
      <c r="D4" s="19">
        <v>1</v>
      </c>
      <c r="E4" s="6">
        <v>0</v>
      </c>
      <c r="F4" s="7" t="str">
        <f t="shared" ref="F4:F13" si="0">IF(ROW()=4,"",C4-C3)</f>
        <v/>
      </c>
      <c r="G4" s="7" t="str">
        <f t="shared" ref="G4:G13" si="1">IF(ROW()=4,"",(C4-C3)/C3*100)</f>
        <v/>
      </c>
      <c r="H4" s="8">
        <v>16.56203007518797</v>
      </c>
      <c r="I4" s="9">
        <v>4405.5</v>
      </c>
      <c r="J4" s="14">
        <v>2</v>
      </c>
      <c r="K4" s="11">
        <v>0</v>
      </c>
      <c r="L4" s="12" t="str">
        <f t="shared" ref="L4:L13" si="2">IF(ROW()=4,"",H4-H3)</f>
        <v/>
      </c>
      <c r="M4" s="7" t="str">
        <f t="shared" ref="M4:M13" si="3">IF(ROW()=4,"",(H4-H3)/H3*100)</f>
        <v/>
      </c>
    </row>
    <row r="5" spans="1:14" x14ac:dyDescent="0.25">
      <c r="A5" s="2">
        <v>82</v>
      </c>
      <c r="B5" s="3" t="s">
        <v>39</v>
      </c>
      <c r="C5" s="4">
        <v>255</v>
      </c>
      <c r="D5" s="5">
        <v>2</v>
      </c>
      <c r="E5" s="6">
        <v>0</v>
      </c>
      <c r="F5" s="7">
        <f t="shared" si="0"/>
        <v>-11</v>
      </c>
      <c r="G5" s="7">
        <f t="shared" si="1"/>
        <v>-4.1353383458646613</v>
      </c>
      <c r="H5" s="8">
        <v>20.5</v>
      </c>
      <c r="I5" s="9">
        <v>5227.5</v>
      </c>
      <c r="J5" s="10">
        <v>1</v>
      </c>
      <c r="K5" s="11">
        <v>0</v>
      </c>
      <c r="L5" s="12">
        <f t="shared" si="2"/>
        <v>3.9379699248120303</v>
      </c>
      <c r="M5" s="7">
        <f t="shared" si="3"/>
        <v>23.777096810804679</v>
      </c>
    </row>
    <row r="6" spans="1:14" x14ac:dyDescent="0.25">
      <c r="A6" s="2">
        <v>83</v>
      </c>
      <c r="B6" s="3" t="s">
        <v>31</v>
      </c>
      <c r="C6" s="4">
        <v>194</v>
      </c>
      <c r="D6" s="13">
        <v>3</v>
      </c>
      <c r="E6" s="6">
        <v>0</v>
      </c>
      <c r="F6" s="7">
        <f t="shared" si="0"/>
        <v>-61</v>
      </c>
      <c r="G6" s="7">
        <f t="shared" si="1"/>
        <v>-23.921568627450981</v>
      </c>
      <c r="H6" s="8">
        <v>12.628865979381439</v>
      </c>
      <c r="I6" s="9">
        <v>2450</v>
      </c>
      <c r="J6" s="20">
        <v>5</v>
      </c>
      <c r="K6" s="11">
        <v>0</v>
      </c>
      <c r="L6" s="12">
        <f t="shared" si="2"/>
        <v>-7.8711340206185607</v>
      </c>
      <c r="M6" s="7">
        <f t="shared" si="3"/>
        <v>-38.395775710334441</v>
      </c>
    </row>
    <row r="7" spans="1:14" x14ac:dyDescent="0.25">
      <c r="A7" s="2">
        <v>84</v>
      </c>
      <c r="B7" s="3" t="s">
        <v>40</v>
      </c>
      <c r="C7" s="4">
        <v>190</v>
      </c>
      <c r="D7" s="15">
        <v>4</v>
      </c>
      <c r="E7" s="6">
        <v>0</v>
      </c>
      <c r="F7" s="7">
        <f t="shared" si="0"/>
        <v>-4</v>
      </c>
      <c r="G7" s="7">
        <f t="shared" si="1"/>
        <v>-2.0618556701030926</v>
      </c>
      <c r="H7" s="8">
        <v>21</v>
      </c>
      <c r="I7" s="9">
        <v>3990</v>
      </c>
      <c r="J7" s="16">
        <v>3</v>
      </c>
      <c r="K7" s="11">
        <v>0</v>
      </c>
      <c r="L7" s="12">
        <f t="shared" si="2"/>
        <v>8.3711340206185607</v>
      </c>
      <c r="M7" s="7">
        <f t="shared" si="3"/>
        <v>66.285714285714334</v>
      </c>
    </row>
    <row r="8" spans="1:14" x14ac:dyDescent="0.25">
      <c r="A8" s="2">
        <v>85</v>
      </c>
      <c r="B8" s="3" t="s">
        <v>41</v>
      </c>
      <c r="C8" s="4">
        <v>187</v>
      </c>
      <c r="D8" s="27">
        <v>5</v>
      </c>
      <c r="E8" s="6">
        <v>0</v>
      </c>
      <c r="F8" s="7">
        <f t="shared" si="0"/>
        <v>-3</v>
      </c>
      <c r="G8" s="7">
        <f t="shared" si="1"/>
        <v>-1.5789473684210527</v>
      </c>
      <c r="H8" s="8">
        <v>20.860962566844918</v>
      </c>
      <c r="I8" s="9">
        <v>3901</v>
      </c>
      <c r="J8" s="18">
        <v>4</v>
      </c>
      <c r="K8" s="11">
        <v>0</v>
      </c>
      <c r="L8" s="12">
        <f t="shared" si="2"/>
        <v>-0.13903743315508166</v>
      </c>
      <c r="M8" s="7">
        <f t="shared" si="3"/>
        <v>-0.66208301502419842</v>
      </c>
    </row>
    <row r="9" spans="1:14" x14ac:dyDescent="0.25">
      <c r="A9" s="2">
        <v>86</v>
      </c>
      <c r="B9" s="3" t="s">
        <v>32</v>
      </c>
      <c r="C9" s="4">
        <v>160</v>
      </c>
      <c r="D9" s="17">
        <v>6</v>
      </c>
      <c r="E9" s="6">
        <v>0</v>
      </c>
      <c r="F9" s="7">
        <f t="shared" si="0"/>
        <v>-27</v>
      </c>
      <c r="G9" s="7">
        <f t="shared" si="1"/>
        <v>-14.438502673796791</v>
      </c>
      <c r="H9" s="8">
        <v>12.15</v>
      </c>
      <c r="I9" s="9">
        <v>1944</v>
      </c>
      <c r="J9" s="22">
        <v>6</v>
      </c>
      <c r="K9" s="11">
        <v>0</v>
      </c>
      <c r="L9" s="12">
        <f t="shared" si="2"/>
        <v>-8.710962566844918</v>
      </c>
      <c r="M9" s="7">
        <f t="shared" si="3"/>
        <v>-41.757241732888993</v>
      </c>
    </row>
    <row r="10" spans="1:14" x14ac:dyDescent="0.25">
      <c r="A10" s="2">
        <v>87</v>
      </c>
      <c r="B10" s="3" t="s">
        <v>35</v>
      </c>
      <c r="C10" s="4">
        <v>99</v>
      </c>
      <c r="D10" s="21">
        <v>7</v>
      </c>
      <c r="E10" s="6">
        <v>0</v>
      </c>
      <c r="F10" s="7">
        <f t="shared" si="0"/>
        <v>-61</v>
      </c>
      <c r="G10" s="7">
        <f t="shared" si="1"/>
        <v>-38.125</v>
      </c>
      <c r="H10" s="8">
        <v>12.25</v>
      </c>
      <c r="I10" s="9">
        <v>1212.75</v>
      </c>
      <c r="J10" s="28">
        <v>9</v>
      </c>
      <c r="K10" s="11">
        <v>0</v>
      </c>
      <c r="L10" s="12">
        <f t="shared" si="2"/>
        <v>9.9999999999999645E-2</v>
      </c>
      <c r="M10" s="7">
        <f t="shared" si="3"/>
        <v>0.82304526748970908</v>
      </c>
    </row>
    <row r="11" spans="1:14" x14ac:dyDescent="0.25">
      <c r="A11" s="2">
        <v>88</v>
      </c>
      <c r="B11" s="3" t="s">
        <v>34</v>
      </c>
      <c r="C11" s="4">
        <v>96</v>
      </c>
      <c r="D11" s="23">
        <v>8</v>
      </c>
      <c r="E11" s="6">
        <v>0</v>
      </c>
      <c r="F11" s="7">
        <f t="shared" si="0"/>
        <v>-3</v>
      </c>
      <c r="G11" s="7">
        <f t="shared" si="1"/>
        <v>-3.0303030303030303</v>
      </c>
      <c r="H11" s="8">
        <v>12.75</v>
      </c>
      <c r="I11" s="9">
        <v>1224</v>
      </c>
      <c r="J11" s="26">
        <v>8</v>
      </c>
      <c r="K11" s="11">
        <v>0</v>
      </c>
      <c r="L11" s="12">
        <f t="shared" si="2"/>
        <v>0.5</v>
      </c>
      <c r="M11" s="7">
        <f t="shared" si="3"/>
        <v>4.0816326530612246</v>
      </c>
    </row>
    <row r="12" spans="1:14" x14ac:dyDescent="0.25">
      <c r="A12" s="2">
        <v>89</v>
      </c>
      <c r="B12" s="3" t="s">
        <v>33</v>
      </c>
      <c r="C12" s="4">
        <v>94</v>
      </c>
      <c r="D12" s="25">
        <v>9</v>
      </c>
      <c r="E12" s="6">
        <v>0</v>
      </c>
      <c r="F12" s="7">
        <f t="shared" si="0"/>
        <v>-2</v>
      </c>
      <c r="G12" s="7">
        <f t="shared" si="1"/>
        <v>-2.083333333333333</v>
      </c>
      <c r="H12" s="8">
        <v>20.465425531914889</v>
      </c>
      <c r="I12" s="9">
        <v>1923.75</v>
      </c>
      <c r="J12" s="24">
        <v>7</v>
      </c>
      <c r="K12" s="11">
        <v>0</v>
      </c>
      <c r="L12" s="12">
        <f t="shared" si="2"/>
        <v>7.7154255319148888</v>
      </c>
      <c r="M12" s="7">
        <f t="shared" si="3"/>
        <v>60.513141426783449</v>
      </c>
    </row>
    <row r="13" spans="1:14" x14ac:dyDescent="0.25">
      <c r="A13" s="2">
        <v>90</v>
      </c>
      <c r="B13" s="3" t="s">
        <v>36</v>
      </c>
      <c r="C13" s="4">
        <v>28</v>
      </c>
      <c r="D13" s="29">
        <v>10</v>
      </c>
      <c r="E13" s="6">
        <v>0</v>
      </c>
      <c r="F13" s="7">
        <f t="shared" si="0"/>
        <v>-66</v>
      </c>
      <c r="G13" s="7">
        <f t="shared" si="1"/>
        <v>-70.212765957446805</v>
      </c>
      <c r="H13" s="8">
        <v>35.950000000000003</v>
      </c>
      <c r="I13" s="9">
        <v>1006.6</v>
      </c>
      <c r="J13" s="30">
        <v>10</v>
      </c>
      <c r="K13" s="11">
        <v>0</v>
      </c>
      <c r="L13" s="12">
        <f t="shared" si="2"/>
        <v>15.484574468085114</v>
      </c>
      <c r="M13" s="7">
        <f t="shared" si="3"/>
        <v>75.662118258609539</v>
      </c>
    </row>
    <row r="14" spans="1:14" ht="18.75" x14ac:dyDescent="0.3">
      <c r="A14" s="2" t="s">
        <v>12</v>
      </c>
      <c r="B14" s="31"/>
      <c r="C14" s="32">
        <f>SUBTOTAL(9,C4:C13)</f>
        <v>1569</v>
      </c>
      <c r="D14" s="31"/>
      <c r="E14" s="33">
        <f>SUBTOTAL(9,E4:E13)</f>
        <v>0</v>
      </c>
      <c r="F14" s="34">
        <f>SUBTOTAL(9,F4:F13)</f>
        <v>-238</v>
      </c>
      <c r="G14" s="34">
        <f>SUBTOTAL(9,G4:G13)</f>
        <v>-159.58761500671974</v>
      </c>
      <c r="H14" s="35">
        <f>SUBTOTAL(9,H4:H13)</f>
        <v>185.11728415332919</v>
      </c>
      <c r="I14" s="36">
        <f>SUBTOTAL(9,I4:I13)</f>
        <v>27285.1</v>
      </c>
      <c r="J14" s="31"/>
      <c r="K14" s="33">
        <f>SUBTOTAL(9,K4:K13)</f>
        <v>0</v>
      </c>
      <c r="L14" s="37">
        <f>SUBTOTAL(9,L4:L13)</f>
        <v>19.387969924812033</v>
      </c>
      <c r="M14" s="34">
        <f>SUBTOTAL(9,M4:M13)</f>
        <v>150.32764824421531</v>
      </c>
    </row>
  </sheetData>
  <autoFilter ref="A3:M13" xr:uid="{00000000-0009-0000-0000-000003000000}"/>
  <mergeCells count="1">
    <mergeCell ref="A1:N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7.7109375" customWidth="1"/>
    <col min="2" max="2" width="16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4.7109375" customWidth="1"/>
  </cols>
  <sheetData>
    <row r="1" spans="1:14" ht="18.75" x14ac:dyDescent="0.25">
      <c r="A1" s="84" t="s">
        <v>54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3" spans="1:14" s="1" customFormat="1" x14ac:dyDescent="0.25">
      <c r="B3" s="2" t="s">
        <v>43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44" t="s">
        <v>44</v>
      </c>
      <c r="C4" s="4">
        <v>2315</v>
      </c>
      <c r="D4" s="15">
        <v>4</v>
      </c>
      <c r="E4" s="6">
        <v>0</v>
      </c>
      <c r="F4" s="7" t="str">
        <f t="shared" ref="F4:F13" si="0">IF(ROW()=4,"",C4-C3)</f>
        <v/>
      </c>
      <c r="G4" s="7" t="str">
        <f t="shared" ref="G4:G13" si="1">IF(ROW()=4,"",(C4-C3)/C3*100)</f>
        <v/>
      </c>
      <c r="H4" s="8">
        <v>18.762095032397411</v>
      </c>
      <c r="I4" s="9">
        <v>43434.25</v>
      </c>
      <c r="J4" s="10">
        <v>1</v>
      </c>
      <c r="K4" s="11">
        <v>0</v>
      </c>
      <c r="L4" s="12" t="str">
        <f t="shared" ref="L4:L13" si="2">IF(ROW()=4,"",H4-H3)</f>
        <v/>
      </c>
      <c r="M4" s="7" t="str">
        <f t="shared" ref="M4:M13" si="3">IF(ROW()=4,"",(H4-H3)/H3*100)</f>
        <v/>
      </c>
    </row>
    <row r="5" spans="1:14" x14ac:dyDescent="0.25">
      <c r="A5" s="2">
        <v>1</v>
      </c>
      <c r="B5" s="44" t="s">
        <v>45</v>
      </c>
      <c r="C5" s="4">
        <v>2372</v>
      </c>
      <c r="D5" s="5">
        <v>2</v>
      </c>
      <c r="E5" s="6">
        <v>0</v>
      </c>
      <c r="F5" s="7">
        <f t="shared" si="0"/>
        <v>57</v>
      </c>
      <c r="G5" s="7">
        <f t="shared" si="1"/>
        <v>2.4622030237580992</v>
      </c>
      <c r="H5" s="8">
        <v>18.030354131534569</v>
      </c>
      <c r="I5" s="9">
        <v>42768</v>
      </c>
      <c r="J5" s="14">
        <v>2</v>
      </c>
      <c r="K5" s="11">
        <v>0</v>
      </c>
      <c r="L5" s="12">
        <f t="shared" si="2"/>
        <v>-0.73174090086284238</v>
      </c>
      <c r="M5" s="7">
        <f t="shared" si="3"/>
        <v>-3.9001023052026449</v>
      </c>
    </row>
    <row r="6" spans="1:14" x14ac:dyDescent="0.25">
      <c r="A6" s="2">
        <v>2</v>
      </c>
      <c r="B6" s="44" t="s">
        <v>46</v>
      </c>
      <c r="C6" s="4">
        <v>2302</v>
      </c>
      <c r="D6" s="27">
        <v>5</v>
      </c>
      <c r="E6" s="6">
        <v>0</v>
      </c>
      <c r="F6" s="7">
        <f t="shared" si="0"/>
        <v>-70</v>
      </c>
      <c r="G6" s="7">
        <f t="shared" si="1"/>
        <v>-2.9510961214165259</v>
      </c>
      <c r="H6" s="8">
        <v>17.98848827106864</v>
      </c>
      <c r="I6" s="9">
        <v>41409.5</v>
      </c>
      <c r="J6" s="16">
        <v>3</v>
      </c>
      <c r="K6" s="11">
        <v>0</v>
      </c>
      <c r="L6" s="12">
        <f t="shared" si="2"/>
        <v>-4.1865860465929217E-2</v>
      </c>
      <c r="M6" s="7">
        <f t="shared" si="3"/>
        <v>-0.232196551218631</v>
      </c>
    </row>
    <row r="7" spans="1:14" x14ac:dyDescent="0.25">
      <c r="A7" s="2">
        <v>3</v>
      </c>
      <c r="B7" s="44" t="s">
        <v>47</v>
      </c>
      <c r="C7" s="4">
        <v>2416</v>
      </c>
      <c r="D7" s="19">
        <v>1</v>
      </c>
      <c r="E7" s="6">
        <v>0</v>
      </c>
      <c r="F7" s="7">
        <f t="shared" si="0"/>
        <v>114</v>
      </c>
      <c r="G7" s="7">
        <f t="shared" si="1"/>
        <v>4.9522154648132064</v>
      </c>
      <c r="H7" s="8">
        <v>15.803187086092709</v>
      </c>
      <c r="I7" s="9">
        <v>38180.5</v>
      </c>
      <c r="J7" s="18">
        <v>4</v>
      </c>
      <c r="K7" s="11">
        <v>0</v>
      </c>
      <c r="L7" s="12">
        <f t="shared" si="2"/>
        <v>-2.1853011849759305</v>
      </c>
      <c r="M7" s="7">
        <f t="shared" si="3"/>
        <v>-12.148331488703295</v>
      </c>
    </row>
    <row r="8" spans="1:14" x14ac:dyDescent="0.25">
      <c r="A8" s="2">
        <v>4</v>
      </c>
      <c r="B8" s="44" t="s">
        <v>48</v>
      </c>
      <c r="C8" s="4">
        <v>1887</v>
      </c>
      <c r="D8" s="45">
        <v>6.5</v>
      </c>
      <c r="E8" s="6">
        <v>0</v>
      </c>
      <c r="F8" s="7">
        <f t="shared" si="0"/>
        <v>-529</v>
      </c>
      <c r="G8" s="7">
        <f t="shared" si="1"/>
        <v>-21.89569536423841</v>
      </c>
      <c r="H8" s="8">
        <v>18.458532061473239</v>
      </c>
      <c r="I8" s="9">
        <v>34831.25</v>
      </c>
      <c r="J8" s="20">
        <v>5</v>
      </c>
      <c r="K8" s="11">
        <v>0</v>
      </c>
      <c r="L8" s="12">
        <f t="shared" si="2"/>
        <v>2.6553449753805296</v>
      </c>
      <c r="M8" s="7">
        <f t="shared" si="3"/>
        <v>16.802591533686993</v>
      </c>
    </row>
    <row r="9" spans="1:14" x14ac:dyDescent="0.25">
      <c r="A9" s="2">
        <v>5</v>
      </c>
      <c r="B9" s="44" t="s">
        <v>49</v>
      </c>
      <c r="C9" s="4">
        <v>1885</v>
      </c>
      <c r="D9" s="23">
        <v>8</v>
      </c>
      <c r="E9" s="6">
        <v>0</v>
      </c>
      <c r="F9" s="7">
        <f t="shared" si="0"/>
        <v>-2</v>
      </c>
      <c r="G9" s="7">
        <f t="shared" si="1"/>
        <v>-0.10598834128245893</v>
      </c>
      <c r="H9" s="8">
        <v>18.411538461538459</v>
      </c>
      <c r="I9" s="9">
        <v>34705.75</v>
      </c>
      <c r="J9" s="22">
        <v>6</v>
      </c>
      <c r="K9" s="11">
        <v>0</v>
      </c>
      <c r="L9" s="12">
        <f t="shared" si="2"/>
        <v>-4.6993599934779695E-2</v>
      </c>
      <c r="M9" s="7">
        <f t="shared" si="3"/>
        <v>-0.25459012546758808</v>
      </c>
    </row>
    <row r="10" spans="1:14" x14ac:dyDescent="0.25">
      <c r="A10" s="2">
        <v>6</v>
      </c>
      <c r="B10" s="44" t="s">
        <v>50</v>
      </c>
      <c r="C10" s="4">
        <v>1849</v>
      </c>
      <c r="D10" s="29">
        <v>10</v>
      </c>
      <c r="E10" s="6">
        <v>0</v>
      </c>
      <c r="F10" s="7">
        <f t="shared" si="0"/>
        <v>-36</v>
      </c>
      <c r="G10" s="7">
        <f t="shared" si="1"/>
        <v>-1.909814323607427</v>
      </c>
      <c r="H10" s="8">
        <v>18.105327203893999</v>
      </c>
      <c r="I10" s="9">
        <v>33476.75</v>
      </c>
      <c r="J10" s="24">
        <v>7</v>
      </c>
      <c r="K10" s="11">
        <v>0</v>
      </c>
      <c r="L10" s="12">
        <f t="shared" si="2"/>
        <v>-0.30621125764445978</v>
      </c>
      <c r="M10" s="7">
        <f t="shared" si="3"/>
        <v>-1.6631486732308243</v>
      </c>
    </row>
    <row r="11" spans="1:14" x14ac:dyDescent="0.25">
      <c r="A11" s="2">
        <v>7</v>
      </c>
      <c r="B11" s="44" t="s">
        <v>51</v>
      </c>
      <c r="C11" s="4">
        <v>2370</v>
      </c>
      <c r="D11" s="13">
        <v>3</v>
      </c>
      <c r="E11" s="6">
        <v>0</v>
      </c>
      <c r="F11" s="7">
        <f t="shared" si="0"/>
        <v>521</v>
      </c>
      <c r="G11" s="7">
        <f t="shared" si="1"/>
        <v>28.177393185505679</v>
      </c>
      <c r="H11" s="8">
        <v>13.617405063291139</v>
      </c>
      <c r="I11" s="9">
        <v>32273.25</v>
      </c>
      <c r="J11" s="26">
        <v>8</v>
      </c>
      <c r="K11" s="11">
        <v>0</v>
      </c>
      <c r="L11" s="12">
        <f t="shared" si="2"/>
        <v>-4.4879221406028602</v>
      </c>
      <c r="M11" s="7">
        <f t="shared" si="3"/>
        <v>-24.787854370495008</v>
      </c>
    </row>
    <row r="12" spans="1:14" x14ac:dyDescent="0.25">
      <c r="A12" s="2">
        <v>8</v>
      </c>
      <c r="B12" s="44" t="s">
        <v>52</v>
      </c>
      <c r="C12" s="4">
        <v>1850</v>
      </c>
      <c r="D12" s="25">
        <v>9</v>
      </c>
      <c r="E12" s="6">
        <v>0</v>
      </c>
      <c r="F12" s="7">
        <f t="shared" si="0"/>
        <v>-520</v>
      </c>
      <c r="G12" s="7">
        <f t="shared" si="1"/>
        <v>-21.940928270042196</v>
      </c>
      <c r="H12" s="8">
        <v>17.440918918918921</v>
      </c>
      <c r="I12" s="9">
        <v>32265.7</v>
      </c>
      <c r="J12" s="28">
        <v>9</v>
      </c>
      <c r="K12" s="11">
        <v>0</v>
      </c>
      <c r="L12" s="12">
        <f t="shared" si="2"/>
        <v>3.8235138556277821</v>
      </c>
      <c r="M12" s="7">
        <f t="shared" si="3"/>
        <v>28.078138513592044</v>
      </c>
    </row>
    <row r="13" spans="1:14" x14ac:dyDescent="0.25">
      <c r="A13" s="2">
        <v>9</v>
      </c>
      <c r="B13" s="44" t="s">
        <v>53</v>
      </c>
      <c r="C13" s="4">
        <v>1887</v>
      </c>
      <c r="D13" s="45">
        <v>6.5</v>
      </c>
      <c r="E13" s="6">
        <v>0</v>
      </c>
      <c r="F13" s="7">
        <f t="shared" si="0"/>
        <v>37</v>
      </c>
      <c r="G13" s="7">
        <f t="shared" si="1"/>
        <v>2</v>
      </c>
      <c r="H13" s="8">
        <v>16.3966613672496</v>
      </c>
      <c r="I13" s="9">
        <v>30940.5</v>
      </c>
      <c r="J13" s="30">
        <v>10</v>
      </c>
      <c r="K13" s="11">
        <v>0</v>
      </c>
      <c r="L13" s="12">
        <f t="shared" si="2"/>
        <v>-1.0442575516693218</v>
      </c>
      <c r="M13" s="7">
        <f t="shared" si="3"/>
        <v>-5.9873998412811282</v>
      </c>
    </row>
    <row r="14" spans="1:14" ht="18.75" x14ac:dyDescent="0.3">
      <c r="A14" s="2" t="s">
        <v>12</v>
      </c>
      <c r="B14" s="31"/>
      <c r="C14" s="32">
        <f>SUBTOTAL(9,C4:C13)</f>
        <v>21133</v>
      </c>
      <c r="D14" s="31"/>
      <c r="E14" s="33">
        <f>SUBTOTAL(9,E4:E13)</f>
        <v>0</v>
      </c>
      <c r="F14" s="34">
        <f>SUBTOTAL(9,F4:F13)</f>
        <v>-428</v>
      </c>
      <c r="G14" s="34">
        <f>SUBTOTAL(9,G4:G13)</f>
        <v>-11.211710746510036</v>
      </c>
      <c r="H14" s="35">
        <f>SUBTOTAL(9,H4:H13)</f>
        <v>173.01450759745867</v>
      </c>
      <c r="I14" s="36">
        <f>SUBTOTAL(9,I4:I13)</f>
        <v>364285.45</v>
      </c>
      <c r="J14" s="31"/>
      <c r="K14" s="33">
        <f>SUBTOTAL(9,K4:K13)</f>
        <v>0</v>
      </c>
      <c r="L14" s="37">
        <f>SUBTOTAL(9,L4:L13)</f>
        <v>-2.3654336651478118</v>
      </c>
      <c r="M14" s="34">
        <f>SUBTOTAL(9,M4:M13)</f>
        <v>-4.0928933083200825</v>
      </c>
    </row>
  </sheetData>
  <autoFilter ref="A3:M13" xr:uid="{00000000-0009-0000-0000-000004000000}"/>
  <mergeCells count="1">
    <mergeCell ref="A1:N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7.7109375" customWidth="1"/>
    <col min="2" max="2" width="16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4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3.7109375" customWidth="1"/>
  </cols>
  <sheetData>
    <row r="1" spans="1:14" ht="18.75" x14ac:dyDescent="0.25">
      <c r="A1" s="84" t="s">
        <v>56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3" spans="1:14" s="1" customFormat="1" x14ac:dyDescent="0.25">
      <c r="B3" s="2" t="s">
        <v>43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44" t="s">
        <v>47</v>
      </c>
      <c r="C4" s="4">
        <v>2416</v>
      </c>
      <c r="D4" s="19">
        <v>1</v>
      </c>
      <c r="E4" s="6">
        <v>0</v>
      </c>
      <c r="F4" s="7" t="str">
        <f t="shared" ref="F4:F13" si="0">IF(ROW()=4,"",C4-C3)</f>
        <v/>
      </c>
      <c r="G4" s="7" t="str">
        <f t="shared" ref="G4:G13" si="1">IF(ROW()=4,"",(C4-C3)/C3*100)</f>
        <v/>
      </c>
      <c r="H4" s="8">
        <v>15.803187086092709</v>
      </c>
      <c r="I4" s="9">
        <v>38180.5</v>
      </c>
      <c r="J4" s="18">
        <v>4</v>
      </c>
      <c r="K4" s="11">
        <v>0</v>
      </c>
      <c r="L4" s="12" t="str">
        <f t="shared" ref="L4:L13" si="2">IF(ROW()=4,"",H4-H3)</f>
        <v/>
      </c>
      <c r="M4" s="7" t="str">
        <f t="shared" ref="M4:M13" si="3">IF(ROW()=4,"",(H4-H3)/H3*100)</f>
        <v/>
      </c>
    </row>
    <row r="5" spans="1:14" x14ac:dyDescent="0.25">
      <c r="A5" s="2">
        <v>1</v>
      </c>
      <c r="B5" s="44" t="s">
        <v>45</v>
      </c>
      <c r="C5" s="4">
        <v>2372</v>
      </c>
      <c r="D5" s="5">
        <v>2</v>
      </c>
      <c r="E5" s="6">
        <v>0</v>
      </c>
      <c r="F5" s="7">
        <f t="shared" si="0"/>
        <v>-44</v>
      </c>
      <c r="G5" s="7">
        <f t="shared" si="1"/>
        <v>-1.8211920529801324</v>
      </c>
      <c r="H5" s="8">
        <v>18.030354131534569</v>
      </c>
      <c r="I5" s="9">
        <v>42768</v>
      </c>
      <c r="J5" s="14">
        <v>2</v>
      </c>
      <c r="K5" s="11">
        <v>0</v>
      </c>
      <c r="L5" s="12">
        <f t="shared" si="2"/>
        <v>2.2271670454418597</v>
      </c>
      <c r="M5" s="7">
        <f t="shared" si="3"/>
        <v>14.093151168233875</v>
      </c>
    </row>
    <row r="6" spans="1:14" x14ac:dyDescent="0.25">
      <c r="A6" s="2">
        <v>2</v>
      </c>
      <c r="B6" s="44" t="s">
        <v>51</v>
      </c>
      <c r="C6" s="4">
        <v>2370</v>
      </c>
      <c r="D6" s="13">
        <v>3</v>
      </c>
      <c r="E6" s="6">
        <v>0</v>
      </c>
      <c r="F6" s="7">
        <f t="shared" si="0"/>
        <v>-2</v>
      </c>
      <c r="G6" s="7">
        <f t="shared" si="1"/>
        <v>-8.4317032040472167E-2</v>
      </c>
      <c r="H6" s="8">
        <v>13.617405063291139</v>
      </c>
      <c r="I6" s="9">
        <v>32273.25</v>
      </c>
      <c r="J6" s="24">
        <v>7</v>
      </c>
      <c r="K6" s="11">
        <v>0</v>
      </c>
      <c r="L6" s="12">
        <f t="shared" si="2"/>
        <v>-4.4129490682434298</v>
      </c>
      <c r="M6" s="7">
        <f t="shared" si="3"/>
        <v>-24.475110339210197</v>
      </c>
    </row>
    <row r="7" spans="1:14" x14ac:dyDescent="0.25">
      <c r="A7" s="2">
        <v>3</v>
      </c>
      <c r="B7" s="44" t="s">
        <v>55</v>
      </c>
      <c r="C7" s="4">
        <v>2369</v>
      </c>
      <c r="D7" s="15">
        <v>4</v>
      </c>
      <c r="E7" s="6">
        <v>0</v>
      </c>
      <c r="F7" s="7">
        <f t="shared" si="0"/>
        <v>-1</v>
      </c>
      <c r="G7" s="7">
        <f t="shared" si="1"/>
        <v>-4.2194092827004218E-2</v>
      </c>
      <c r="H7" s="8">
        <v>12.731848881384551</v>
      </c>
      <c r="I7" s="9">
        <v>30161.75</v>
      </c>
      <c r="J7" s="30">
        <v>10</v>
      </c>
      <c r="K7" s="11">
        <v>0</v>
      </c>
      <c r="L7" s="12">
        <f t="shared" si="2"/>
        <v>-0.88555618190658869</v>
      </c>
      <c r="M7" s="7">
        <f t="shared" si="3"/>
        <v>-6.5031199247631246</v>
      </c>
    </row>
    <row r="8" spans="1:14" x14ac:dyDescent="0.25">
      <c r="A8" s="2">
        <v>4</v>
      </c>
      <c r="B8" s="44" t="s">
        <v>44</v>
      </c>
      <c r="C8" s="4">
        <v>2315</v>
      </c>
      <c r="D8" s="27">
        <v>5</v>
      </c>
      <c r="E8" s="6">
        <v>0</v>
      </c>
      <c r="F8" s="7">
        <f t="shared" si="0"/>
        <v>-54</v>
      </c>
      <c r="G8" s="7">
        <f t="shared" si="1"/>
        <v>-2.2794428028704092</v>
      </c>
      <c r="H8" s="8">
        <v>18.762095032397411</v>
      </c>
      <c r="I8" s="9">
        <v>43434.25</v>
      </c>
      <c r="J8" s="10">
        <v>1</v>
      </c>
      <c r="K8" s="11">
        <v>0</v>
      </c>
      <c r="L8" s="12">
        <f t="shared" si="2"/>
        <v>6.0302461510128609</v>
      </c>
      <c r="M8" s="7">
        <f t="shared" si="3"/>
        <v>47.363475699352549</v>
      </c>
    </row>
    <row r="9" spans="1:14" x14ac:dyDescent="0.25">
      <c r="A9" s="2">
        <v>5</v>
      </c>
      <c r="B9" s="44" t="s">
        <v>46</v>
      </c>
      <c r="C9" s="4">
        <v>2302</v>
      </c>
      <c r="D9" s="17">
        <v>6</v>
      </c>
      <c r="E9" s="6">
        <v>0</v>
      </c>
      <c r="F9" s="7">
        <f t="shared" si="0"/>
        <v>-13</v>
      </c>
      <c r="G9" s="7">
        <f t="shared" si="1"/>
        <v>-0.56155507559395246</v>
      </c>
      <c r="H9" s="8">
        <v>17.98848827106864</v>
      </c>
      <c r="I9" s="9">
        <v>41409.5</v>
      </c>
      <c r="J9" s="16">
        <v>3</v>
      </c>
      <c r="K9" s="11">
        <v>0</v>
      </c>
      <c r="L9" s="12">
        <f t="shared" si="2"/>
        <v>-0.7736067613287716</v>
      </c>
      <c r="M9" s="7">
        <f t="shared" si="3"/>
        <v>-4.1232429533745973</v>
      </c>
    </row>
    <row r="10" spans="1:14" x14ac:dyDescent="0.25">
      <c r="A10" s="2">
        <v>6</v>
      </c>
      <c r="B10" s="44" t="s">
        <v>48</v>
      </c>
      <c r="C10" s="4">
        <v>1887</v>
      </c>
      <c r="D10" s="46">
        <v>7.5</v>
      </c>
      <c r="E10" s="6">
        <v>0</v>
      </c>
      <c r="F10" s="7">
        <f t="shared" si="0"/>
        <v>-415</v>
      </c>
      <c r="G10" s="7">
        <f t="shared" si="1"/>
        <v>-18.02780191138141</v>
      </c>
      <c r="H10" s="8">
        <v>18.458532061473239</v>
      </c>
      <c r="I10" s="9">
        <v>34831.25</v>
      </c>
      <c r="J10" s="20">
        <v>5</v>
      </c>
      <c r="K10" s="11">
        <v>0</v>
      </c>
      <c r="L10" s="12">
        <f t="shared" si="2"/>
        <v>0.47004379040459909</v>
      </c>
      <c r="M10" s="7">
        <f t="shared" si="3"/>
        <v>2.613025526778606</v>
      </c>
    </row>
    <row r="11" spans="1:14" x14ac:dyDescent="0.25">
      <c r="A11" s="2">
        <v>7</v>
      </c>
      <c r="B11" s="44" t="s">
        <v>53</v>
      </c>
      <c r="C11" s="4">
        <v>1887</v>
      </c>
      <c r="D11" s="46">
        <v>7.5</v>
      </c>
      <c r="E11" s="6">
        <v>0</v>
      </c>
      <c r="F11" s="7">
        <f t="shared" si="0"/>
        <v>0</v>
      </c>
      <c r="G11" s="7">
        <f t="shared" si="1"/>
        <v>0</v>
      </c>
      <c r="H11" s="8">
        <v>16.3966613672496</v>
      </c>
      <c r="I11" s="9">
        <v>30940.5</v>
      </c>
      <c r="J11" s="28">
        <v>9</v>
      </c>
      <c r="K11" s="11">
        <v>0</v>
      </c>
      <c r="L11" s="12">
        <f t="shared" si="2"/>
        <v>-2.0618706942236393</v>
      </c>
      <c r="M11" s="7">
        <f t="shared" si="3"/>
        <v>-11.170285304145006</v>
      </c>
    </row>
    <row r="12" spans="1:14" x14ac:dyDescent="0.25">
      <c r="A12" s="2">
        <v>8</v>
      </c>
      <c r="B12" s="44" t="s">
        <v>49</v>
      </c>
      <c r="C12" s="4">
        <v>1885</v>
      </c>
      <c r="D12" s="25">
        <v>9</v>
      </c>
      <c r="E12" s="6">
        <v>0</v>
      </c>
      <c r="F12" s="7">
        <f t="shared" si="0"/>
        <v>-2</v>
      </c>
      <c r="G12" s="7">
        <f t="shared" si="1"/>
        <v>-0.10598834128245893</v>
      </c>
      <c r="H12" s="8">
        <v>18.411538461538459</v>
      </c>
      <c r="I12" s="9">
        <v>34705.75</v>
      </c>
      <c r="J12" s="22">
        <v>6</v>
      </c>
      <c r="K12" s="11">
        <v>0</v>
      </c>
      <c r="L12" s="12">
        <f t="shared" si="2"/>
        <v>2.0148770942888596</v>
      </c>
      <c r="M12" s="7">
        <f t="shared" si="3"/>
        <v>12.288337541161516</v>
      </c>
    </row>
    <row r="13" spans="1:14" x14ac:dyDescent="0.25">
      <c r="A13" s="2">
        <v>9</v>
      </c>
      <c r="B13" s="44" t="s">
        <v>52</v>
      </c>
      <c r="C13" s="4">
        <v>1850</v>
      </c>
      <c r="D13" s="29">
        <v>10</v>
      </c>
      <c r="E13" s="6">
        <v>0</v>
      </c>
      <c r="F13" s="7">
        <f t="shared" si="0"/>
        <v>-35</v>
      </c>
      <c r="G13" s="7">
        <f t="shared" si="1"/>
        <v>-1.8567639257294428</v>
      </c>
      <c r="H13" s="8">
        <v>17.440918918918921</v>
      </c>
      <c r="I13" s="9">
        <v>32265.7</v>
      </c>
      <c r="J13" s="26">
        <v>8</v>
      </c>
      <c r="K13" s="11">
        <v>0</v>
      </c>
      <c r="L13" s="12">
        <f t="shared" si="2"/>
        <v>-0.97061954261953787</v>
      </c>
      <c r="M13" s="7">
        <f t="shared" si="3"/>
        <v>-5.2718003150424044</v>
      </c>
    </row>
    <row r="14" spans="1:14" ht="18.75" x14ac:dyDescent="0.3">
      <c r="A14" s="2" t="s">
        <v>12</v>
      </c>
      <c r="B14" s="31"/>
      <c r="C14" s="32">
        <f>SUBTOTAL(9,C4:C13)</f>
        <v>21653</v>
      </c>
      <c r="D14" s="31"/>
      <c r="E14" s="33">
        <f>SUBTOTAL(9,E4:E13)</f>
        <v>0</v>
      </c>
      <c r="F14" s="34">
        <f>SUBTOTAL(9,F4:F13)</f>
        <v>-566</v>
      </c>
      <c r="G14" s="34">
        <f>SUBTOTAL(9,G4:G13)</f>
        <v>-24.779255234705282</v>
      </c>
      <c r="H14" s="35">
        <f>SUBTOTAL(9,H4:H13)</f>
        <v>167.64102927494923</v>
      </c>
      <c r="I14" s="36">
        <f>SUBTOTAL(9,I4:I13)</f>
        <v>360970.45</v>
      </c>
      <c r="J14" s="31"/>
      <c r="K14" s="33">
        <f>SUBTOTAL(9,K4:K13)</f>
        <v>0</v>
      </c>
      <c r="L14" s="37">
        <f>SUBTOTAL(9,L4:L13)</f>
        <v>1.637731832826212</v>
      </c>
      <c r="M14" s="34">
        <f>SUBTOTAL(9,M4:M13)</f>
        <v>24.814431098991221</v>
      </c>
    </row>
  </sheetData>
  <autoFilter ref="A3:M13" xr:uid="{00000000-0009-0000-0000-000005000000}"/>
  <mergeCells count="1">
    <mergeCell ref="A1:N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7.7109375" customWidth="1"/>
    <col min="2" max="2" width="16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 ht="18.75" x14ac:dyDescent="0.25">
      <c r="A1" s="84" t="s">
        <v>67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3" spans="1:14" s="1" customFormat="1" x14ac:dyDescent="0.25">
      <c r="B3" s="2" t="s">
        <v>43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22</v>
      </c>
      <c r="B4" s="44" t="s">
        <v>57</v>
      </c>
      <c r="C4" s="4">
        <v>980</v>
      </c>
      <c r="D4" s="5">
        <v>2</v>
      </c>
      <c r="E4" s="6">
        <v>0</v>
      </c>
      <c r="F4" s="7" t="str">
        <f t="shared" ref="F4:F13" si="0">IF(ROW()=4,"",C4-C3)</f>
        <v/>
      </c>
      <c r="G4" s="7" t="str">
        <f t="shared" ref="G4:G13" si="1">IF(ROW()=4,"",(C4-C3)/C3*100)</f>
        <v/>
      </c>
      <c r="H4" s="8">
        <v>17.245153061224489</v>
      </c>
      <c r="I4" s="9">
        <v>16900.25</v>
      </c>
      <c r="J4" s="10">
        <v>1</v>
      </c>
      <c r="K4" s="11">
        <v>0</v>
      </c>
      <c r="L4" s="12" t="str">
        <f t="shared" ref="L4:L13" si="2">IF(ROW()=4,"",H4-H3)</f>
        <v/>
      </c>
      <c r="M4" s="7" t="str">
        <f t="shared" ref="M4:M13" si="3">IF(ROW()=4,"",(H4-H3)/H3*100)</f>
        <v/>
      </c>
    </row>
    <row r="5" spans="1:14" x14ac:dyDescent="0.25">
      <c r="A5" s="2">
        <v>23</v>
      </c>
      <c r="B5" s="44" t="s">
        <v>58</v>
      </c>
      <c r="C5" s="4">
        <v>961</v>
      </c>
      <c r="D5" s="15">
        <v>4</v>
      </c>
      <c r="E5" s="6">
        <v>0</v>
      </c>
      <c r="F5" s="7">
        <f t="shared" si="0"/>
        <v>-19</v>
      </c>
      <c r="G5" s="7">
        <f t="shared" si="1"/>
        <v>-1.9387755102040816</v>
      </c>
      <c r="H5" s="8">
        <v>17.379552549427679</v>
      </c>
      <c r="I5" s="9">
        <v>16701.75</v>
      </c>
      <c r="J5" s="14">
        <v>2</v>
      </c>
      <c r="K5" s="11">
        <v>0</v>
      </c>
      <c r="L5" s="12">
        <f t="shared" si="2"/>
        <v>0.13439948820319003</v>
      </c>
      <c r="M5" s="7">
        <f t="shared" si="3"/>
        <v>0.77934645013609993</v>
      </c>
    </row>
    <row r="6" spans="1:14" x14ac:dyDescent="0.25">
      <c r="A6" s="2">
        <v>24</v>
      </c>
      <c r="B6" s="44" t="s">
        <v>59</v>
      </c>
      <c r="C6" s="4">
        <v>957</v>
      </c>
      <c r="D6" s="47">
        <v>5.5</v>
      </c>
      <c r="E6" s="6">
        <v>0</v>
      </c>
      <c r="F6" s="7">
        <f t="shared" si="0"/>
        <v>-4</v>
      </c>
      <c r="G6" s="7">
        <f t="shared" si="1"/>
        <v>-0.41623309053069724</v>
      </c>
      <c r="H6" s="8">
        <v>17.163793103448281</v>
      </c>
      <c r="I6" s="9">
        <v>16425.75</v>
      </c>
      <c r="J6" s="16">
        <v>3</v>
      </c>
      <c r="K6" s="11">
        <v>0</v>
      </c>
      <c r="L6" s="12">
        <f t="shared" si="2"/>
        <v>-0.21575944597939767</v>
      </c>
      <c r="M6" s="7">
        <f t="shared" si="3"/>
        <v>-1.2414557012660419</v>
      </c>
    </row>
    <row r="7" spans="1:14" x14ac:dyDescent="0.25">
      <c r="A7" s="2">
        <v>25</v>
      </c>
      <c r="B7" s="44" t="s">
        <v>60</v>
      </c>
      <c r="C7" s="4">
        <v>975</v>
      </c>
      <c r="D7" s="13">
        <v>3</v>
      </c>
      <c r="E7" s="6">
        <v>0</v>
      </c>
      <c r="F7" s="7">
        <f t="shared" si="0"/>
        <v>18</v>
      </c>
      <c r="G7" s="7">
        <f t="shared" si="1"/>
        <v>1.8808777429467085</v>
      </c>
      <c r="H7" s="8">
        <v>16.43</v>
      </c>
      <c r="I7" s="9">
        <v>16019.25</v>
      </c>
      <c r="J7" s="18">
        <v>4</v>
      </c>
      <c r="K7" s="11">
        <v>0</v>
      </c>
      <c r="L7" s="12">
        <f t="shared" si="2"/>
        <v>-0.73379310344828141</v>
      </c>
      <c r="M7" s="7">
        <f t="shared" si="3"/>
        <v>-4.275238573581146</v>
      </c>
    </row>
    <row r="8" spans="1:14" x14ac:dyDescent="0.25">
      <c r="A8" s="2">
        <v>26</v>
      </c>
      <c r="B8" s="44" t="s">
        <v>61</v>
      </c>
      <c r="C8" s="4">
        <v>927</v>
      </c>
      <c r="D8" s="23">
        <v>8</v>
      </c>
      <c r="E8" s="6">
        <v>0</v>
      </c>
      <c r="F8" s="7">
        <f t="shared" si="0"/>
        <v>-48</v>
      </c>
      <c r="G8" s="7">
        <f t="shared" si="1"/>
        <v>-4.9230769230769234</v>
      </c>
      <c r="H8" s="8">
        <v>17.18905070118662</v>
      </c>
      <c r="I8" s="9">
        <v>15934.25</v>
      </c>
      <c r="J8" s="20">
        <v>5</v>
      </c>
      <c r="K8" s="11">
        <v>0</v>
      </c>
      <c r="L8" s="12">
        <f t="shared" si="2"/>
        <v>0.7590507011866201</v>
      </c>
      <c r="M8" s="7">
        <f t="shared" si="3"/>
        <v>4.619906884885089</v>
      </c>
    </row>
    <row r="9" spans="1:14" x14ac:dyDescent="0.25">
      <c r="A9" s="2">
        <v>27</v>
      </c>
      <c r="B9" s="44" t="s">
        <v>62</v>
      </c>
      <c r="C9" s="4">
        <v>957</v>
      </c>
      <c r="D9" s="47">
        <v>5.5</v>
      </c>
      <c r="E9" s="6">
        <v>0</v>
      </c>
      <c r="F9" s="7">
        <f t="shared" si="0"/>
        <v>30</v>
      </c>
      <c r="G9" s="7">
        <f t="shared" si="1"/>
        <v>3.2362459546925564</v>
      </c>
      <c r="H9" s="8">
        <v>16.296760710553819</v>
      </c>
      <c r="I9" s="9">
        <v>15596</v>
      </c>
      <c r="J9" s="22">
        <v>6</v>
      </c>
      <c r="K9" s="11">
        <v>0</v>
      </c>
      <c r="L9" s="12">
        <f t="shared" si="2"/>
        <v>-0.89228999063280057</v>
      </c>
      <c r="M9" s="7">
        <f t="shared" si="3"/>
        <v>-5.1910370511106976</v>
      </c>
    </row>
    <row r="10" spans="1:14" x14ac:dyDescent="0.25">
      <c r="A10" s="2">
        <v>28</v>
      </c>
      <c r="B10" s="44" t="s">
        <v>63</v>
      </c>
      <c r="C10" s="4">
        <v>923</v>
      </c>
      <c r="D10" s="25">
        <v>9</v>
      </c>
      <c r="E10" s="6">
        <v>0</v>
      </c>
      <c r="F10" s="7">
        <f t="shared" si="0"/>
        <v>-34</v>
      </c>
      <c r="G10" s="7">
        <f t="shared" si="1"/>
        <v>-3.5527690700104495</v>
      </c>
      <c r="H10" s="8">
        <v>16.641928494041171</v>
      </c>
      <c r="I10" s="9">
        <v>15360.5</v>
      </c>
      <c r="J10" s="24">
        <v>7</v>
      </c>
      <c r="K10" s="11">
        <v>0</v>
      </c>
      <c r="L10" s="12">
        <f t="shared" si="2"/>
        <v>0.34516778348735144</v>
      </c>
      <c r="M10" s="7">
        <f t="shared" si="3"/>
        <v>2.1180146755411338</v>
      </c>
    </row>
    <row r="11" spans="1:14" x14ac:dyDescent="0.25">
      <c r="A11" s="2">
        <v>29</v>
      </c>
      <c r="B11" s="44" t="s">
        <v>64</v>
      </c>
      <c r="C11" s="4">
        <v>940</v>
      </c>
      <c r="D11" s="21">
        <v>7</v>
      </c>
      <c r="E11" s="6">
        <v>0</v>
      </c>
      <c r="F11" s="7">
        <f t="shared" si="0"/>
        <v>17</v>
      </c>
      <c r="G11" s="7">
        <f t="shared" si="1"/>
        <v>1.8418201516793065</v>
      </c>
      <c r="H11" s="8">
        <v>16.25292553191489</v>
      </c>
      <c r="I11" s="9">
        <v>15277.75</v>
      </c>
      <c r="J11" s="26">
        <v>8</v>
      </c>
      <c r="K11" s="11">
        <v>0</v>
      </c>
      <c r="L11" s="12">
        <f t="shared" si="2"/>
        <v>-0.38900296212628049</v>
      </c>
      <c r="M11" s="7">
        <f t="shared" si="3"/>
        <v>-2.3374872825920829</v>
      </c>
    </row>
    <row r="12" spans="1:14" x14ac:dyDescent="0.25">
      <c r="A12" s="2">
        <v>30</v>
      </c>
      <c r="B12" s="44" t="s">
        <v>65</v>
      </c>
      <c r="C12" s="4">
        <v>987</v>
      </c>
      <c r="D12" s="19">
        <v>1</v>
      </c>
      <c r="E12" s="6">
        <v>0</v>
      </c>
      <c r="F12" s="7">
        <f t="shared" si="0"/>
        <v>47</v>
      </c>
      <c r="G12" s="7">
        <f t="shared" si="1"/>
        <v>5</v>
      </c>
      <c r="H12" s="8">
        <v>14.13956433637285</v>
      </c>
      <c r="I12" s="9">
        <v>13955.75</v>
      </c>
      <c r="J12" s="28">
        <v>9</v>
      </c>
      <c r="K12" s="11">
        <v>0</v>
      </c>
      <c r="L12" s="12">
        <f t="shared" si="2"/>
        <v>-2.1133611955420406</v>
      </c>
      <c r="M12" s="7">
        <f t="shared" si="3"/>
        <v>-13.002958706678132</v>
      </c>
    </row>
    <row r="13" spans="1:14" x14ac:dyDescent="0.25">
      <c r="A13" s="2">
        <v>31</v>
      </c>
      <c r="B13" s="44" t="s">
        <v>66</v>
      </c>
      <c r="C13" s="4">
        <v>480</v>
      </c>
      <c r="D13" s="29">
        <v>10</v>
      </c>
      <c r="E13" s="6">
        <v>0</v>
      </c>
      <c r="F13" s="7">
        <f t="shared" si="0"/>
        <v>-507</v>
      </c>
      <c r="G13" s="7">
        <f t="shared" si="1"/>
        <v>-51.367781155015201</v>
      </c>
      <c r="H13" s="8">
        <v>24.142708333333331</v>
      </c>
      <c r="I13" s="9">
        <v>11588.5</v>
      </c>
      <c r="J13" s="30">
        <v>10</v>
      </c>
      <c r="K13" s="11">
        <v>0</v>
      </c>
      <c r="L13" s="12">
        <f t="shared" si="2"/>
        <v>10.003143996960482</v>
      </c>
      <c r="M13" s="7">
        <f t="shared" si="3"/>
        <v>70.745772351897912</v>
      </c>
    </row>
    <row r="14" spans="1:14" ht="18.75" x14ac:dyDescent="0.3">
      <c r="A14" s="2" t="s">
        <v>12</v>
      </c>
      <c r="B14" s="31"/>
      <c r="C14" s="32">
        <f>SUBTOTAL(9,C4:C13)</f>
        <v>9087</v>
      </c>
      <c r="D14" s="31"/>
      <c r="E14" s="33">
        <f>SUBTOTAL(9,E4:E13)</f>
        <v>0</v>
      </c>
      <c r="F14" s="34">
        <f>SUBTOTAL(9,F4:F13)</f>
        <v>-500</v>
      </c>
      <c r="G14" s="34">
        <f>SUBTOTAL(9,G4:G13)</f>
        <v>-50.239691899518782</v>
      </c>
      <c r="H14" s="35">
        <f>SUBTOTAL(9,H4:H13)</f>
        <v>172.88143682150312</v>
      </c>
      <c r="I14" s="36">
        <f>SUBTOTAL(9,I4:I13)</f>
        <v>153759.75</v>
      </c>
      <c r="J14" s="31"/>
      <c r="K14" s="33">
        <f>SUBTOTAL(9,K4:K13)</f>
        <v>0</v>
      </c>
      <c r="L14" s="37">
        <f>SUBTOTAL(9,L4:L13)</f>
        <v>6.8975552721088427</v>
      </c>
      <c r="M14" s="34">
        <f>SUBTOTAL(9,M4:M13)</f>
        <v>52.214863047232136</v>
      </c>
    </row>
  </sheetData>
  <autoFilter ref="A3:M13" xr:uid="{00000000-0009-0000-0000-000006000000}"/>
  <mergeCells count="1">
    <mergeCell ref="A1:N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7.7109375" customWidth="1"/>
    <col min="2" max="2" width="16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 ht="18.75" x14ac:dyDescent="0.25">
      <c r="A1" s="84" t="s">
        <v>68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3" spans="1:14" s="1" customFormat="1" x14ac:dyDescent="0.25">
      <c r="B3" s="2" t="s">
        <v>43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22</v>
      </c>
      <c r="B4" s="44" t="s">
        <v>65</v>
      </c>
      <c r="C4" s="4">
        <v>987</v>
      </c>
      <c r="D4" s="19">
        <v>1</v>
      </c>
      <c r="E4" s="6">
        <v>0</v>
      </c>
      <c r="F4" s="7" t="str">
        <f t="shared" ref="F4:F13" si="0">IF(ROW()=4,"",C4-C3)</f>
        <v/>
      </c>
      <c r="G4" s="7" t="str">
        <f t="shared" ref="G4:G13" si="1">IF(ROW()=4,"",(C4-C3)/C3*100)</f>
        <v/>
      </c>
      <c r="H4" s="8">
        <v>14.13956433637285</v>
      </c>
      <c r="I4" s="9">
        <v>13955.75</v>
      </c>
      <c r="J4" s="28">
        <v>9</v>
      </c>
      <c r="K4" s="11">
        <v>0</v>
      </c>
      <c r="L4" s="12" t="str">
        <f t="shared" ref="L4:L13" si="2">IF(ROW()=4,"",H4-H3)</f>
        <v/>
      </c>
      <c r="M4" s="7" t="str">
        <f t="shared" ref="M4:M13" si="3">IF(ROW()=4,"",(H4-H3)/H3*100)</f>
        <v/>
      </c>
    </row>
    <row r="5" spans="1:14" x14ac:dyDescent="0.25">
      <c r="A5" s="2">
        <v>23</v>
      </c>
      <c r="B5" s="44" t="s">
        <v>57</v>
      </c>
      <c r="C5" s="4">
        <v>980</v>
      </c>
      <c r="D5" s="5">
        <v>2</v>
      </c>
      <c r="E5" s="6">
        <v>0</v>
      </c>
      <c r="F5" s="7">
        <f t="shared" si="0"/>
        <v>-7</v>
      </c>
      <c r="G5" s="7">
        <f t="shared" si="1"/>
        <v>-0.70921985815602839</v>
      </c>
      <c r="H5" s="8">
        <v>17.245153061224489</v>
      </c>
      <c r="I5" s="9">
        <v>16900.25</v>
      </c>
      <c r="J5" s="10">
        <v>1</v>
      </c>
      <c r="K5" s="11">
        <v>0</v>
      </c>
      <c r="L5" s="12">
        <f t="shared" si="2"/>
        <v>3.1055887248516392</v>
      </c>
      <c r="M5" s="7">
        <f t="shared" si="3"/>
        <v>21.9638218757757</v>
      </c>
    </row>
    <row r="6" spans="1:14" x14ac:dyDescent="0.25">
      <c r="A6" s="2">
        <v>24</v>
      </c>
      <c r="B6" s="44" t="s">
        <v>60</v>
      </c>
      <c r="C6" s="4">
        <v>975</v>
      </c>
      <c r="D6" s="13">
        <v>3</v>
      </c>
      <c r="E6" s="6">
        <v>0</v>
      </c>
      <c r="F6" s="7">
        <f t="shared" si="0"/>
        <v>-5</v>
      </c>
      <c r="G6" s="7">
        <f t="shared" si="1"/>
        <v>-0.51020408163265307</v>
      </c>
      <c r="H6" s="8">
        <v>16.43</v>
      </c>
      <c r="I6" s="9">
        <v>16019.25</v>
      </c>
      <c r="J6" s="18">
        <v>4</v>
      </c>
      <c r="K6" s="11">
        <v>0</v>
      </c>
      <c r="L6" s="12">
        <f t="shared" si="2"/>
        <v>-0.81515306122448905</v>
      </c>
      <c r="M6" s="7">
        <f t="shared" si="3"/>
        <v>-4.7268531530598619</v>
      </c>
    </row>
    <row r="7" spans="1:14" x14ac:dyDescent="0.25">
      <c r="A7" s="2">
        <v>25</v>
      </c>
      <c r="B7" s="44" t="s">
        <v>58</v>
      </c>
      <c r="C7" s="4">
        <v>961</v>
      </c>
      <c r="D7" s="15">
        <v>4</v>
      </c>
      <c r="E7" s="6">
        <v>0</v>
      </c>
      <c r="F7" s="7">
        <f t="shared" si="0"/>
        <v>-14</v>
      </c>
      <c r="G7" s="7">
        <f t="shared" si="1"/>
        <v>-1.4358974358974359</v>
      </c>
      <c r="H7" s="8">
        <v>17.379552549427679</v>
      </c>
      <c r="I7" s="9">
        <v>16701.75</v>
      </c>
      <c r="J7" s="14">
        <v>2</v>
      </c>
      <c r="K7" s="11">
        <v>0</v>
      </c>
      <c r="L7" s="12">
        <f t="shared" si="2"/>
        <v>0.94955254942767908</v>
      </c>
      <c r="M7" s="7">
        <f t="shared" si="3"/>
        <v>5.7793825284703537</v>
      </c>
    </row>
    <row r="8" spans="1:14" x14ac:dyDescent="0.25">
      <c r="A8" s="2">
        <v>26</v>
      </c>
      <c r="B8" s="44" t="s">
        <v>59</v>
      </c>
      <c r="C8" s="4">
        <v>957</v>
      </c>
      <c r="D8" s="47">
        <v>5.5</v>
      </c>
      <c r="E8" s="6">
        <v>0</v>
      </c>
      <c r="F8" s="7">
        <f t="shared" si="0"/>
        <v>-4</v>
      </c>
      <c r="G8" s="7">
        <f t="shared" si="1"/>
        <v>-0.41623309053069724</v>
      </c>
      <c r="H8" s="8">
        <v>17.163793103448281</v>
      </c>
      <c r="I8" s="9">
        <v>16425.75</v>
      </c>
      <c r="J8" s="16">
        <v>3</v>
      </c>
      <c r="K8" s="11">
        <v>0</v>
      </c>
      <c r="L8" s="12">
        <f t="shared" si="2"/>
        <v>-0.21575944597939767</v>
      </c>
      <c r="M8" s="7">
        <f t="shared" si="3"/>
        <v>-1.2414557012660419</v>
      </c>
    </row>
    <row r="9" spans="1:14" x14ac:dyDescent="0.25">
      <c r="A9" s="2">
        <v>27</v>
      </c>
      <c r="B9" s="44" t="s">
        <v>62</v>
      </c>
      <c r="C9" s="4">
        <v>957</v>
      </c>
      <c r="D9" s="47">
        <v>5.5</v>
      </c>
      <c r="E9" s="6">
        <v>0</v>
      </c>
      <c r="F9" s="7">
        <f t="shared" si="0"/>
        <v>0</v>
      </c>
      <c r="G9" s="7">
        <f t="shared" si="1"/>
        <v>0</v>
      </c>
      <c r="H9" s="8">
        <v>16.296760710553819</v>
      </c>
      <c r="I9" s="9">
        <v>15596</v>
      </c>
      <c r="J9" s="22">
        <v>6</v>
      </c>
      <c r="K9" s="11">
        <v>0</v>
      </c>
      <c r="L9" s="12">
        <f t="shared" si="2"/>
        <v>-0.86703239289446188</v>
      </c>
      <c r="M9" s="7">
        <f t="shared" si="3"/>
        <v>-5.0515197175167028</v>
      </c>
    </row>
    <row r="10" spans="1:14" x14ac:dyDescent="0.25">
      <c r="A10" s="2">
        <v>28</v>
      </c>
      <c r="B10" s="44" t="s">
        <v>64</v>
      </c>
      <c r="C10" s="4">
        <v>940</v>
      </c>
      <c r="D10" s="21">
        <v>7</v>
      </c>
      <c r="E10" s="6">
        <v>0</v>
      </c>
      <c r="F10" s="7">
        <f t="shared" si="0"/>
        <v>-17</v>
      </c>
      <c r="G10" s="7">
        <f t="shared" si="1"/>
        <v>-1.7763845350052248</v>
      </c>
      <c r="H10" s="8">
        <v>16.25292553191489</v>
      </c>
      <c r="I10" s="9">
        <v>15277.75</v>
      </c>
      <c r="J10" s="26">
        <v>8</v>
      </c>
      <c r="K10" s="11">
        <v>0</v>
      </c>
      <c r="L10" s="12">
        <f t="shared" si="2"/>
        <v>-4.3835178638929051E-2</v>
      </c>
      <c r="M10" s="7">
        <f t="shared" si="3"/>
        <v>-0.268980930735157</v>
      </c>
    </row>
    <row r="11" spans="1:14" x14ac:dyDescent="0.25">
      <c r="A11" s="2">
        <v>29</v>
      </c>
      <c r="B11" s="44" t="s">
        <v>61</v>
      </c>
      <c r="C11" s="4">
        <v>927</v>
      </c>
      <c r="D11" s="23">
        <v>8</v>
      </c>
      <c r="E11" s="6">
        <v>0</v>
      </c>
      <c r="F11" s="7">
        <f t="shared" si="0"/>
        <v>-13</v>
      </c>
      <c r="G11" s="7">
        <f t="shared" si="1"/>
        <v>-1.3829787234042552</v>
      </c>
      <c r="H11" s="8">
        <v>17.18905070118662</v>
      </c>
      <c r="I11" s="9">
        <v>15934.25</v>
      </c>
      <c r="J11" s="20">
        <v>5</v>
      </c>
      <c r="K11" s="11">
        <v>0</v>
      </c>
      <c r="L11" s="12">
        <f t="shared" si="2"/>
        <v>0.93612516927172962</v>
      </c>
      <c r="M11" s="7">
        <f t="shared" si="3"/>
        <v>5.7597333319070287</v>
      </c>
    </row>
    <row r="12" spans="1:14" x14ac:dyDescent="0.25">
      <c r="A12" s="2">
        <v>30</v>
      </c>
      <c r="B12" s="44" t="s">
        <v>63</v>
      </c>
      <c r="C12" s="4">
        <v>923</v>
      </c>
      <c r="D12" s="25">
        <v>9</v>
      </c>
      <c r="E12" s="6">
        <v>0</v>
      </c>
      <c r="F12" s="7">
        <f t="shared" si="0"/>
        <v>-4</v>
      </c>
      <c r="G12" s="7">
        <f t="shared" si="1"/>
        <v>-0.43149946062567418</v>
      </c>
      <c r="H12" s="8">
        <v>16.641928494041171</v>
      </c>
      <c r="I12" s="9">
        <v>15360.5</v>
      </c>
      <c r="J12" s="24">
        <v>7</v>
      </c>
      <c r="K12" s="11">
        <v>0</v>
      </c>
      <c r="L12" s="12">
        <f t="shared" si="2"/>
        <v>-0.54712220714544912</v>
      </c>
      <c r="M12" s="7">
        <f t="shared" si="3"/>
        <v>-3.1829693021248664</v>
      </c>
    </row>
    <row r="13" spans="1:14" x14ac:dyDescent="0.25">
      <c r="A13" s="2">
        <v>31</v>
      </c>
      <c r="B13" s="44" t="s">
        <v>66</v>
      </c>
      <c r="C13" s="4">
        <v>480</v>
      </c>
      <c r="D13" s="29">
        <v>10</v>
      </c>
      <c r="E13" s="6">
        <v>0</v>
      </c>
      <c r="F13" s="7">
        <f t="shared" si="0"/>
        <v>-443</v>
      </c>
      <c r="G13" s="7">
        <f t="shared" si="1"/>
        <v>-47.995666305525461</v>
      </c>
      <c r="H13" s="8">
        <v>24.142708333333331</v>
      </c>
      <c r="I13" s="9">
        <v>11588.5</v>
      </c>
      <c r="J13" s="30">
        <v>10</v>
      </c>
      <c r="K13" s="11">
        <v>0</v>
      </c>
      <c r="L13" s="12">
        <f t="shared" si="2"/>
        <v>7.5007798392921607</v>
      </c>
      <c r="M13" s="7">
        <f t="shared" si="3"/>
        <v>45.071578344888927</v>
      </c>
    </row>
    <row r="14" spans="1:14" ht="18.75" x14ac:dyDescent="0.3">
      <c r="A14" s="2" t="s">
        <v>12</v>
      </c>
      <c r="B14" s="31"/>
      <c r="C14" s="32">
        <f>SUBTOTAL(9,C4:C13)</f>
        <v>9087</v>
      </c>
      <c r="D14" s="31"/>
      <c r="E14" s="33">
        <f>SUBTOTAL(9,E4:E13)</f>
        <v>0</v>
      </c>
      <c r="F14" s="34">
        <f>SUBTOTAL(9,F4:F13)</f>
        <v>-507</v>
      </c>
      <c r="G14" s="34">
        <f>SUBTOTAL(9,G4:G13)</f>
        <v>-54.658083490777429</v>
      </c>
      <c r="H14" s="35">
        <f>SUBTOTAL(9,H4:H13)</f>
        <v>172.88143682150314</v>
      </c>
      <c r="I14" s="36">
        <f>SUBTOTAL(9,I4:I13)</f>
        <v>153759.75</v>
      </c>
      <c r="J14" s="31"/>
      <c r="K14" s="33">
        <f>SUBTOTAL(9,K4:K13)</f>
        <v>0</v>
      </c>
      <c r="L14" s="37">
        <f>SUBTOTAL(9,L4:L13)</f>
        <v>10.003143996960482</v>
      </c>
      <c r="M14" s="34">
        <f>SUBTOTAL(9,M4:M13)</f>
        <v>64.102737276339383</v>
      </c>
    </row>
  </sheetData>
  <autoFilter ref="A3:M13" xr:uid="{00000000-0009-0000-0000-000007000000}"/>
  <mergeCells count="1">
    <mergeCell ref="A1:N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7.7109375" customWidth="1"/>
    <col min="2" max="2" width="31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4.7109375" customWidth="1"/>
  </cols>
  <sheetData>
    <row r="1" spans="1:14" ht="18.75" x14ac:dyDescent="0.25">
      <c r="A1" s="84" t="s">
        <v>80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3" spans="1:14" s="1" customFormat="1" x14ac:dyDescent="0.25">
      <c r="B3" s="2" t="s">
        <v>69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48" t="s">
        <v>70</v>
      </c>
      <c r="C4" s="4">
        <v>2315</v>
      </c>
      <c r="D4" s="15">
        <v>4</v>
      </c>
      <c r="E4" s="6">
        <v>0</v>
      </c>
      <c r="F4" s="7" t="str">
        <f t="shared" ref="F4:F13" si="0">IF(ROW()=4,"",C4-C3)</f>
        <v/>
      </c>
      <c r="G4" s="7" t="str">
        <f t="shared" ref="G4:G13" si="1">IF(ROW()=4,"",(C4-C3)/C3*100)</f>
        <v/>
      </c>
      <c r="H4" s="8">
        <v>18.762095032397411</v>
      </c>
      <c r="I4" s="9">
        <v>43434.25</v>
      </c>
      <c r="J4" s="10">
        <v>1</v>
      </c>
      <c r="K4" s="11">
        <v>0</v>
      </c>
      <c r="L4" s="12" t="str">
        <f t="shared" ref="L4:L13" si="2">IF(ROW()=4,"",H4-H3)</f>
        <v/>
      </c>
      <c r="M4" s="7" t="str">
        <f t="shared" ref="M4:M13" si="3">IF(ROW()=4,"",(H4-H3)/H3*100)</f>
        <v/>
      </c>
    </row>
    <row r="5" spans="1:14" x14ac:dyDescent="0.25">
      <c r="A5" s="2">
        <v>1</v>
      </c>
      <c r="B5" s="48" t="s">
        <v>71</v>
      </c>
      <c r="C5" s="4">
        <v>2372</v>
      </c>
      <c r="D5" s="5">
        <v>2</v>
      </c>
      <c r="E5" s="6">
        <v>0</v>
      </c>
      <c r="F5" s="7">
        <f t="shared" si="0"/>
        <v>57</v>
      </c>
      <c r="G5" s="7">
        <f t="shared" si="1"/>
        <v>2.4622030237580992</v>
      </c>
      <c r="H5" s="8">
        <v>18.030354131534569</v>
      </c>
      <c r="I5" s="9">
        <v>42768</v>
      </c>
      <c r="J5" s="14">
        <v>2</v>
      </c>
      <c r="K5" s="11">
        <v>0</v>
      </c>
      <c r="L5" s="12">
        <f t="shared" si="2"/>
        <v>-0.73174090086284238</v>
      </c>
      <c r="M5" s="7">
        <f t="shared" si="3"/>
        <v>-3.9001023052026449</v>
      </c>
    </row>
    <row r="6" spans="1:14" ht="30" x14ac:dyDescent="0.25">
      <c r="A6" s="2">
        <v>2</v>
      </c>
      <c r="B6" s="48" t="s">
        <v>72</v>
      </c>
      <c r="C6" s="4">
        <v>2302</v>
      </c>
      <c r="D6" s="27">
        <v>5</v>
      </c>
      <c r="E6" s="6">
        <v>0</v>
      </c>
      <c r="F6" s="7">
        <f t="shared" si="0"/>
        <v>-70</v>
      </c>
      <c r="G6" s="7">
        <f t="shared" si="1"/>
        <v>-2.9510961214165259</v>
      </c>
      <c r="H6" s="8">
        <v>17.98848827106864</v>
      </c>
      <c r="I6" s="9">
        <v>41409.5</v>
      </c>
      <c r="J6" s="16">
        <v>3</v>
      </c>
      <c r="K6" s="11">
        <v>0</v>
      </c>
      <c r="L6" s="12">
        <f t="shared" si="2"/>
        <v>-4.1865860465929217E-2</v>
      </c>
      <c r="M6" s="7">
        <f t="shared" si="3"/>
        <v>-0.232196551218631</v>
      </c>
    </row>
    <row r="7" spans="1:14" x14ac:dyDescent="0.25">
      <c r="A7" s="2">
        <v>3</v>
      </c>
      <c r="B7" s="48" t="s">
        <v>73</v>
      </c>
      <c r="C7" s="4">
        <v>2416</v>
      </c>
      <c r="D7" s="19">
        <v>1</v>
      </c>
      <c r="E7" s="6">
        <v>0</v>
      </c>
      <c r="F7" s="7">
        <f t="shared" si="0"/>
        <v>114</v>
      </c>
      <c r="G7" s="7">
        <f t="shared" si="1"/>
        <v>4.9522154648132064</v>
      </c>
      <c r="H7" s="8">
        <v>15.803187086092709</v>
      </c>
      <c r="I7" s="9">
        <v>38180.5</v>
      </c>
      <c r="J7" s="18">
        <v>4</v>
      </c>
      <c r="K7" s="11">
        <v>0</v>
      </c>
      <c r="L7" s="12">
        <f t="shared" si="2"/>
        <v>-2.1853011849759305</v>
      </c>
      <c r="M7" s="7">
        <f t="shared" si="3"/>
        <v>-12.148331488703295</v>
      </c>
    </row>
    <row r="8" spans="1:14" x14ac:dyDescent="0.25">
      <c r="A8" s="2">
        <v>4</v>
      </c>
      <c r="B8" s="48" t="s">
        <v>74</v>
      </c>
      <c r="C8" s="4">
        <v>1887</v>
      </c>
      <c r="D8" s="45">
        <v>6.5</v>
      </c>
      <c r="E8" s="6">
        <v>0</v>
      </c>
      <c r="F8" s="7">
        <f t="shared" si="0"/>
        <v>-529</v>
      </c>
      <c r="G8" s="7">
        <f t="shared" si="1"/>
        <v>-21.89569536423841</v>
      </c>
      <c r="H8" s="8">
        <v>18.458532061473239</v>
      </c>
      <c r="I8" s="9">
        <v>34831.25</v>
      </c>
      <c r="J8" s="20">
        <v>5</v>
      </c>
      <c r="K8" s="11">
        <v>0</v>
      </c>
      <c r="L8" s="12">
        <f t="shared" si="2"/>
        <v>2.6553449753805296</v>
      </c>
      <c r="M8" s="7">
        <f t="shared" si="3"/>
        <v>16.802591533686993</v>
      </c>
    </row>
    <row r="9" spans="1:14" ht="30" x14ac:dyDescent="0.25">
      <c r="A9" s="2">
        <v>5</v>
      </c>
      <c r="B9" s="48" t="s">
        <v>75</v>
      </c>
      <c r="C9" s="4">
        <v>1885</v>
      </c>
      <c r="D9" s="23">
        <v>8</v>
      </c>
      <c r="E9" s="6">
        <v>0</v>
      </c>
      <c r="F9" s="7">
        <f t="shared" si="0"/>
        <v>-2</v>
      </c>
      <c r="G9" s="7">
        <f t="shared" si="1"/>
        <v>-0.10598834128245893</v>
      </c>
      <c r="H9" s="8">
        <v>18.411538461538459</v>
      </c>
      <c r="I9" s="9">
        <v>34705.75</v>
      </c>
      <c r="J9" s="22">
        <v>6</v>
      </c>
      <c r="K9" s="11">
        <v>0</v>
      </c>
      <c r="L9" s="12">
        <f t="shared" si="2"/>
        <v>-4.6993599934779695E-2</v>
      </c>
      <c r="M9" s="7">
        <f t="shared" si="3"/>
        <v>-0.25459012546758808</v>
      </c>
    </row>
    <row r="10" spans="1:14" x14ac:dyDescent="0.25">
      <c r="A10" s="2">
        <v>6</v>
      </c>
      <c r="B10" s="48" t="s">
        <v>76</v>
      </c>
      <c r="C10" s="4">
        <v>1849</v>
      </c>
      <c r="D10" s="29">
        <v>10</v>
      </c>
      <c r="E10" s="6">
        <v>0</v>
      </c>
      <c r="F10" s="7">
        <f t="shared" si="0"/>
        <v>-36</v>
      </c>
      <c r="G10" s="7">
        <f t="shared" si="1"/>
        <v>-1.909814323607427</v>
      </c>
      <c r="H10" s="8">
        <v>18.105327203893999</v>
      </c>
      <c r="I10" s="9">
        <v>33476.75</v>
      </c>
      <c r="J10" s="24">
        <v>7</v>
      </c>
      <c r="K10" s="11">
        <v>0</v>
      </c>
      <c r="L10" s="12">
        <f t="shared" si="2"/>
        <v>-0.30621125764445978</v>
      </c>
      <c r="M10" s="7">
        <f t="shared" si="3"/>
        <v>-1.6631486732308243</v>
      </c>
    </row>
    <row r="11" spans="1:14" x14ac:dyDescent="0.25">
      <c r="A11" s="2">
        <v>7</v>
      </c>
      <c r="B11" s="48" t="s">
        <v>77</v>
      </c>
      <c r="C11" s="4">
        <v>2370</v>
      </c>
      <c r="D11" s="13">
        <v>3</v>
      </c>
      <c r="E11" s="6">
        <v>0</v>
      </c>
      <c r="F11" s="7">
        <f t="shared" si="0"/>
        <v>521</v>
      </c>
      <c r="G11" s="7">
        <f t="shared" si="1"/>
        <v>28.177393185505679</v>
      </c>
      <c r="H11" s="8">
        <v>13.617405063291139</v>
      </c>
      <c r="I11" s="9">
        <v>32273.25</v>
      </c>
      <c r="J11" s="26">
        <v>8</v>
      </c>
      <c r="K11" s="11">
        <v>0</v>
      </c>
      <c r="L11" s="12">
        <f t="shared" si="2"/>
        <v>-4.4879221406028602</v>
      </c>
      <c r="M11" s="7">
        <f t="shared" si="3"/>
        <v>-24.787854370495008</v>
      </c>
    </row>
    <row r="12" spans="1:14" x14ac:dyDescent="0.25">
      <c r="A12" s="2">
        <v>8</v>
      </c>
      <c r="B12" s="48" t="s">
        <v>78</v>
      </c>
      <c r="C12" s="4">
        <v>1850</v>
      </c>
      <c r="D12" s="25">
        <v>9</v>
      </c>
      <c r="E12" s="6">
        <v>0</v>
      </c>
      <c r="F12" s="7">
        <f t="shared" si="0"/>
        <v>-520</v>
      </c>
      <c r="G12" s="7">
        <f t="shared" si="1"/>
        <v>-21.940928270042196</v>
      </c>
      <c r="H12" s="8">
        <v>17.440918918918921</v>
      </c>
      <c r="I12" s="9">
        <v>32265.7</v>
      </c>
      <c r="J12" s="28">
        <v>9</v>
      </c>
      <c r="K12" s="11">
        <v>0</v>
      </c>
      <c r="L12" s="12">
        <f t="shared" si="2"/>
        <v>3.8235138556277821</v>
      </c>
      <c r="M12" s="7">
        <f t="shared" si="3"/>
        <v>28.078138513592044</v>
      </c>
    </row>
    <row r="13" spans="1:14" x14ac:dyDescent="0.25">
      <c r="A13" s="2">
        <v>9</v>
      </c>
      <c r="B13" s="48" t="s">
        <v>79</v>
      </c>
      <c r="C13" s="4">
        <v>1887</v>
      </c>
      <c r="D13" s="45">
        <v>6.5</v>
      </c>
      <c r="E13" s="6">
        <v>0</v>
      </c>
      <c r="F13" s="7">
        <f t="shared" si="0"/>
        <v>37</v>
      </c>
      <c r="G13" s="7">
        <f t="shared" si="1"/>
        <v>2</v>
      </c>
      <c r="H13" s="8">
        <v>16.3966613672496</v>
      </c>
      <c r="I13" s="9">
        <v>30940.5</v>
      </c>
      <c r="J13" s="30">
        <v>10</v>
      </c>
      <c r="K13" s="11">
        <v>0</v>
      </c>
      <c r="L13" s="12">
        <f t="shared" si="2"/>
        <v>-1.0442575516693218</v>
      </c>
      <c r="M13" s="7">
        <f t="shared" si="3"/>
        <v>-5.9873998412811282</v>
      </c>
    </row>
    <row r="14" spans="1:14" ht="18.75" x14ac:dyDescent="0.3">
      <c r="A14" s="2" t="s">
        <v>12</v>
      </c>
      <c r="B14" s="31"/>
      <c r="C14" s="32">
        <f>SUBTOTAL(9,C4:C13)</f>
        <v>21133</v>
      </c>
      <c r="D14" s="31"/>
      <c r="E14" s="33">
        <f>SUBTOTAL(9,E4:E13)</f>
        <v>0</v>
      </c>
      <c r="F14" s="34">
        <f>SUBTOTAL(9,F4:F13)</f>
        <v>-428</v>
      </c>
      <c r="G14" s="34">
        <f>SUBTOTAL(9,G4:G13)</f>
        <v>-11.211710746510036</v>
      </c>
      <c r="H14" s="35">
        <f>SUBTOTAL(9,H4:H13)</f>
        <v>173.01450759745867</v>
      </c>
      <c r="I14" s="36">
        <f>SUBTOTAL(9,I4:I13)</f>
        <v>364285.45</v>
      </c>
      <c r="J14" s="31"/>
      <c r="K14" s="33">
        <f>SUBTOTAL(9,K4:K13)</f>
        <v>0</v>
      </c>
      <c r="L14" s="37">
        <f>SUBTOTAL(9,L4:L13)</f>
        <v>-2.3654336651478118</v>
      </c>
      <c r="M14" s="34">
        <f>SUBTOTAL(9,M4:M13)</f>
        <v>-4.0928933083200825</v>
      </c>
    </row>
  </sheetData>
  <autoFilter ref="A3:M13" xr:uid="{00000000-0009-0000-0000-000008000000}"/>
  <mergeCells count="1">
    <mergeCell ref="A1:N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7.7109375" customWidth="1"/>
    <col min="2" max="2" width="31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4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3.7109375" customWidth="1"/>
  </cols>
  <sheetData>
    <row r="1" spans="1:14" ht="18.75" x14ac:dyDescent="0.25">
      <c r="A1" s="84" t="s">
        <v>82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3" spans="1:14" s="1" customFormat="1" x14ac:dyDescent="0.25">
      <c r="B3" s="2" t="s">
        <v>69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48" t="s">
        <v>73</v>
      </c>
      <c r="C4" s="4">
        <v>2416</v>
      </c>
      <c r="D4" s="19">
        <v>1</v>
      </c>
      <c r="E4" s="6">
        <v>0</v>
      </c>
      <c r="F4" s="7" t="str">
        <f t="shared" ref="F4:F13" si="0">IF(ROW()=4,"",C4-C3)</f>
        <v/>
      </c>
      <c r="G4" s="7" t="str">
        <f t="shared" ref="G4:G13" si="1">IF(ROW()=4,"",(C4-C3)/C3*100)</f>
        <v/>
      </c>
      <c r="H4" s="8">
        <v>15.803187086092709</v>
      </c>
      <c r="I4" s="9">
        <v>38180.5</v>
      </c>
      <c r="J4" s="18">
        <v>4</v>
      </c>
      <c r="K4" s="11">
        <v>0</v>
      </c>
      <c r="L4" s="12" t="str">
        <f t="shared" ref="L4:L13" si="2">IF(ROW()=4,"",H4-H3)</f>
        <v/>
      </c>
      <c r="M4" s="7" t="str">
        <f t="shared" ref="M4:M13" si="3">IF(ROW()=4,"",(H4-H3)/H3*100)</f>
        <v/>
      </c>
    </row>
    <row r="5" spans="1:14" x14ac:dyDescent="0.25">
      <c r="A5" s="2">
        <v>1</v>
      </c>
      <c r="B5" s="48" t="s">
        <v>71</v>
      </c>
      <c r="C5" s="4">
        <v>2372</v>
      </c>
      <c r="D5" s="5">
        <v>2</v>
      </c>
      <c r="E5" s="6">
        <v>0</v>
      </c>
      <c r="F5" s="7">
        <f t="shared" si="0"/>
        <v>-44</v>
      </c>
      <c r="G5" s="7">
        <f t="shared" si="1"/>
        <v>-1.8211920529801324</v>
      </c>
      <c r="H5" s="8">
        <v>18.030354131534569</v>
      </c>
      <c r="I5" s="9">
        <v>42768</v>
      </c>
      <c r="J5" s="14">
        <v>2</v>
      </c>
      <c r="K5" s="11">
        <v>0</v>
      </c>
      <c r="L5" s="12">
        <f t="shared" si="2"/>
        <v>2.2271670454418597</v>
      </c>
      <c r="M5" s="7">
        <f t="shared" si="3"/>
        <v>14.093151168233875</v>
      </c>
    </row>
    <row r="6" spans="1:14" x14ac:dyDescent="0.25">
      <c r="A6" s="2">
        <v>2</v>
      </c>
      <c r="B6" s="48" t="s">
        <v>77</v>
      </c>
      <c r="C6" s="4">
        <v>2370</v>
      </c>
      <c r="D6" s="13">
        <v>3</v>
      </c>
      <c r="E6" s="6">
        <v>0</v>
      </c>
      <c r="F6" s="7">
        <f t="shared" si="0"/>
        <v>-2</v>
      </c>
      <c r="G6" s="7">
        <f t="shared" si="1"/>
        <v>-8.4317032040472167E-2</v>
      </c>
      <c r="H6" s="8">
        <v>13.617405063291139</v>
      </c>
      <c r="I6" s="9">
        <v>32273.25</v>
      </c>
      <c r="J6" s="24">
        <v>7</v>
      </c>
      <c r="K6" s="11">
        <v>0</v>
      </c>
      <c r="L6" s="12">
        <f t="shared" si="2"/>
        <v>-4.4129490682434298</v>
      </c>
      <c r="M6" s="7">
        <f t="shared" si="3"/>
        <v>-24.475110339210197</v>
      </c>
    </row>
    <row r="7" spans="1:14" x14ac:dyDescent="0.25">
      <c r="A7" s="2">
        <v>3</v>
      </c>
      <c r="B7" s="48" t="s">
        <v>81</v>
      </c>
      <c r="C7" s="4">
        <v>2369</v>
      </c>
      <c r="D7" s="15">
        <v>4</v>
      </c>
      <c r="E7" s="6">
        <v>0</v>
      </c>
      <c r="F7" s="7">
        <f t="shared" si="0"/>
        <v>-1</v>
      </c>
      <c r="G7" s="7">
        <f t="shared" si="1"/>
        <v>-4.2194092827004218E-2</v>
      </c>
      <c r="H7" s="8">
        <v>12.731848881384551</v>
      </c>
      <c r="I7" s="9">
        <v>30161.75</v>
      </c>
      <c r="J7" s="30">
        <v>10</v>
      </c>
      <c r="K7" s="11">
        <v>0</v>
      </c>
      <c r="L7" s="12">
        <f t="shared" si="2"/>
        <v>-0.88555618190658869</v>
      </c>
      <c r="M7" s="7">
        <f t="shared" si="3"/>
        <v>-6.5031199247631246</v>
      </c>
    </row>
    <row r="8" spans="1:14" x14ac:dyDescent="0.25">
      <c r="A8" s="2">
        <v>4</v>
      </c>
      <c r="B8" s="48" t="s">
        <v>70</v>
      </c>
      <c r="C8" s="4">
        <v>2315</v>
      </c>
      <c r="D8" s="27">
        <v>5</v>
      </c>
      <c r="E8" s="6">
        <v>0</v>
      </c>
      <c r="F8" s="7">
        <f t="shared" si="0"/>
        <v>-54</v>
      </c>
      <c r="G8" s="7">
        <f t="shared" si="1"/>
        <v>-2.2794428028704092</v>
      </c>
      <c r="H8" s="8">
        <v>18.762095032397411</v>
      </c>
      <c r="I8" s="9">
        <v>43434.25</v>
      </c>
      <c r="J8" s="10">
        <v>1</v>
      </c>
      <c r="K8" s="11">
        <v>0</v>
      </c>
      <c r="L8" s="12">
        <f t="shared" si="2"/>
        <v>6.0302461510128609</v>
      </c>
      <c r="M8" s="7">
        <f t="shared" si="3"/>
        <v>47.363475699352549</v>
      </c>
    </row>
    <row r="9" spans="1:14" ht="30" x14ac:dyDescent="0.25">
      <c r="A9" s="2">
        <v>5</v>
      </c>
      <c r="B9" s="48" t="s">
        <v>72</v>
      </c>
      <c r="C9" s="4">
        <v>2302</v>
      </c>
      <c r="D9" s="17">
        <v>6</v>
      </c>
      <c r="E9" s="6">
        <v>0</v>
      </c>
      <c r="F9" s="7">
        <f t="shared" si="0"/>
        <v>-13</v>
      </c>
      <c r="G9" s="7">
        <f t="shared" si="1"/>
        <v>-0.56155507559395246</v>
      </c>
      <c r="H9" s="8">
        <v>17.98848827106864</v>
      </c>
      <c r="I9" s="9">
        <v>41409.5</v>
      </c>
      <c r="J9" s="16">
        <v>3</v>
      </c>
      <c r="K9" s="11">
        <v>0</v>
      </c>
      <c r="L9" s="12">
        <f t="shared" si="2"/>
        <v>-0.7736067613287716</v>
      </c>
      <c r="M9" s="7">
        <f t="shared" si="3"/>
        <v>-4.1232429533745973</v>
      </c>
    </row>
    <row r="10" spans="1:14" x14ac:dyDescent="0.25">
      <c r="A10" s="2">
        <v>6</v>
      </c>
      <c r="B10" s="48" t="s">
        <v>74</v>
      </c>
      <c r="C10" s="4">
        <v>1887</v>
      </c>
      <c r="D10" s="46">
        <v>7.5</v>
      </c>
      <c r="E10" s="6">
        <v>0</v>
      </c>
      <c r="F10" s="7">
        <f t="shared" si="0"/>
        <v>-415</v>
      </c>
      <c r="G10" s="7">
        <f t="shared" si="1"/>
        <v>-18.02780191138141</v>
      </c>
      <c r="H10" s="8">
        <v>18.458532061473239</v>
      </c>
      <c r="I10" s="9">
        <v>34831.25</v>
      </c>
      <c r="J10" s="20">
        <v>5</v>
      </c>
      <c r="K10" s="11">
        <v>0</v>
      </c>
      <c r="L10" s="12">
        <f t="shared" si="2"/>
        <v>0.47004379040459909</v>
      </c>
      <c r="M10" s="7">
        <f t="shared" si="3"/>
        <v>2.613025526778606</v>
      </c>
    </row>
    <row r="11" spans="1:14" x14ac:dyDescent="0.25">
      <c r="A11" s="2">
        <v>7</v>
      </c>
      <c r="B11" s="48" t="s">
        <v>79</v>
      </c>
      <c r="C11" s="4">
        <v>1887</v>
      </c>
      <c r="D11" s="46">
        <v>7.5</v>
      </c>
      <c r="E11" s="6">
        <v>0</v>
      </c>
      <c r="F11" s="7">
        <f t="shared" si="0"/>
        <v>0</v>
      </c>
      <c r="G11" s="7">
        <f t="shared" si="1"/>
        <v>0</v>
      </c>
      <c r="H11" s="8">
        <v>16.3966613672496</v>
      </c>
      <c r="I11" s="9">
        <v>30940.5</v>
      </c>
      <c r="J11" s="28">
        <v>9</v>
      </c>
      <c r="K11" s="11">
        <v>0</v>
      </c>
      <c r="L11" s="12">
        <f t="shared" si="2"/>
        <v>-2.0618706942236393</v>
      </c>
      <c r="M11" s="7">
        <f t="shared" si="3"/>
        <v>-11.170285304145006</v>
      </c>
    </row>
    <row r="12" spans="1:14" ht="30" x14ac:dyDescent="0.25">
      <c r="A12" s="2">
        <v>8</v>
      </c>
      <c r="B12" s="48" t="s">
        <v>75</v>
      </c>
      <c r="C12" s="4">
        <v>1885</v>
      </c>
      <c r="D12" s="25">
        <v>9</v>
      </c>
      <c r="E12" s="6">
        <v>0</v>
      </c>
      <c r="F12" s="7">
        <f t="shared" si="0"/>
        <v>-2</v>
      </c>
      <c r="G12" s="7">
        <f t="shared" si="1"/>
        <v>-0.10598834128245893</v>
      </c>
      <c r="H12" s="8">
        <v>18.411538461538459</v>
      </c>
      <c r="I12" s="9">
        <v>34705.75</v>
      </c>
      <c r="J12" s="22">
        <v>6</v>
      </c>
      <c r="K12" s="11">
        <v>0</v>
      </c>
      <c r="L12" s="12">
        <f t="shared" si="2"/>
        <v>2.0148770942888596</v>
      </c>
      <c r="M12" s="7">
        <f t="shared" si="3"/>
        <v>12.288337541161516</v>
      </c>
    </row>
    <row r="13" spans="1:14" x14ac:dyDescent="0.25">
      <c r="A13" s="2">
        <v>9</v>
      </c>
      <c r="B13" s="48" t="s">
        <v>78</v>
      </c>
      <c r="C13" s="4">
        <v>1850</v>
      </c>
      <c r="D13" s="29">
        <v>10</v>
      </c>
      <c r="E13" s="6">
        <v>0</v>
      </c>
      <c r="F13" s="7">
        <f t="shared" si="0"/>
        <v>-35</v>
      </c>
      <c r="G13" s="7">
        <f t="shared" si="1"/>
        <v>-1.8567639257294428</v>
      </c>
      <c r="H13" s="8">
        <v>17.440918918918921</v>
      </c>
      <c r="I13" s="9">
        <v>32265.7</v>
      </c>
      <c r="J13" s="26">
        <v>8</v>
      </c>
      <c r="K13" s="11">
        <v>0</v>
      </c>
      <c r="L13" s="12">
        <f t="shared" si="2"/>
        <v>-0.97061954261953787</v>
      </c>
      <c r="M13" s="7">
        <f t="shared" si="3"/>
        <v>-5.2718003150424044</v>
      </c>
    </row>
    <row r="14" spans="1:14" ht="18.75" x14ac:dyDescent="0.3">
      <c r="A14" s="2" t="s">
        <v>12</v>
      </c>
      <c r="B14" s="31"/>
      <c r="C14" s="32">
        <f>SUBTOTAL(9,C4:C13)</f>
        <v>21653</v>
      </c>
      <c r="D14" s="31"/>
      <c r="E14" s="33">
        <f>SUBTOTAL(9,E4:E13)</f>
        <v>0</v>
      </c>
      <c r="F14" s="34">
        <f>SUBTOTAL(9,F4:F13)</f>
        <v>-566</v>
      </c>
      <c r="G14" s="34">
        <f>SUBTOTAL(9,G4:G13)</f>
        <v>-24.779255234705282</v>
      </c>
      <c r="H14" s="35">
        <f>SUBTOTAL(9,H4:H13)</f>
        <v>167.64102927494923</v>
      </c>
      <c r="I14" s="36">
        <f>SUBTOTAL(9,I4:I13)</f>
        <v>360970.45</v>
      </c>
      <c r="J14" s="31"/>
      <c r="K14" s="33">
        <f>SUBTOTAL(9,K4:K13)</f>
        <v>0</v>
      </c>
      <c r="L14" s="37">
        <f>SUBTOTAL(9,L4:L13)</f>
        <v>1.637731832826212</v>
      </c>
      <c r="M14" s="34">
        <f>SUBTOTAL(9,M4:M13)</f>
        <v>24.814431098991221</v>
      </c>
    </row>
  </sheetData>
  <autoFilter ref="A3:M13" xr:uid="{00000000-0009-0000-0000-000009000000}"/>
  <mergeCells count="1">
    <mergeCell ref="A1:N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7.7109375" customWidth="1"/>
    <col min="2" max="2" width="31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 ht="18.75" x14ac:dyDescent="0.25">
      <c r="A1" s="84" t="s">
        <v>93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3" spans="1:14" s="1" customFormat="1" x14ac:dyDescent="0.25">
      <c r="B3" s="2" t="s">
        <v>69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22</v>
      </c>
      <c r="B4" s="48" t="s">
        <v>83</v>
      </c>
      <c r="C4" s="4">
        <v>980</v>
      </c>
      <c r="D4" s="5">
        <v>2</v>
      </c>
      <c r="E4" s="6">
        <v>0</v>
      </c>
      <c r="F4" s="7" t="str">
        <f t="shared" ref="F4:F13" si="0">IF(ROW()=4,"",C4-C3)</f>
        <v/>
      </c>
      <c r="G4" s="7" t="str">
        <f t="shared" ref="G4:G13" si="1">IF(ROW()=4,"",(C4-C3)/C3*100)</f>
        <v/>
      </c>
      <c r="H4" s="8">
        <v>17.245153061224489</v>
      </c>
      <c r="I4" s="9">
        <v>16900.25</v>
      </c>
      <c r="J4" s="10">
        <v>1</v>
      </c>
      <c r="K4" s="11">
        <v>0</v>
      </c>
      <c r="L4" s="12" t="str">
        <f t="shared" ref="L4:L13" si="2">IF(ROW()=4,"",H4-H3)</f>
        <v/>
      </c>
      <c r="M4" s="7" t="str">
        <f t="shared" ref="M4:M13" si="3">IF(ROW()=4,"",(H4-H3)/H3*100)</f>
        <v/>
      </c>
    </row>
    <row r="5" spans="1:14" x14ac:dyDescent="0.25">
      <c r="A5" s="2">
        <v>23</v>
      </c>
      <c r="B5" s="48" t="s">
        <v>84</v>
      </c>
      <c r="C5" s="4">
        <v>961</v>
      </c>
      <c r="D5" s="15">
        <v>4</v>
      </c>
      <c r="E5" s="6">
        <v>0</v>
      </c>
      <c r="F5" s="7">
        <f t="shared" si="0"/>
        <v>-19</v>
      </c>
      <c r="G5" s="7">
        <f t="shared" si="1"/>
        <v>-1.9387755102040816</v>
      </c>
      <c r="H5" s="8">
        <v>17.379552549427679</v>
      </c>
      <c r="I5" s="9">
        <v>16701.75</v>
      </c>
      <c r="J5" s="14">
        <v>2</v>
      </c>
      <c r="K5" s="11">
        <v>0</v>
      </c>
      <c r="L5" s="12">
        <f t="shared" si="2"/>
        <v>0.13439948820319003</v>
      </c>
      <c r="M5" s="7">
        <f t="shared" si="3"/>
        <v>0.77934645013609993</v>
      </c>
    </row>
    <row r="6" spans="1:14" x14ac:dyDescent="0.25">
      <c r="A6" s="2">
        <v>24</v>
      </c>
      <c r="B6" s="48" t="s">
        <v>85</v>
      </c>
      <c r="C6" s="4">
        <v>957</v>
      </c>
      <c r="D6" s="47">
        <v>5.5</v>
      </c>
      <c r="E6" s="6">
        <v>0</v>
      </c>
      <c r="F6" s="7">
        <f t="shared" si="0"/>
        <v>-4</v>
      </c>
      <c r="G6" s="7">
        <f t="shared" si="1"/>
        <v>-0.41623309053069724</v>
      </c>
      <c r="H6" s="8">
        <v>17.163793103448281</v>
      </c>
      <c r="I6" s="9">
        <v>16425.75</v>
      </c>
      <c r="J6" s="16">
        <v>3</v>
      </c>
      <c r="K6" s="11">
        <v>0</v>
      </c>
      <c r="L6" s="12">
        <f t="shared" si="2"/>
        <v>-0.21575944597939767</v>
      </c>
      <c r="M6" s="7">
        <f t="shared" si="3"/>
        <v>-1.2414557012660419</v>
      </c>
    </row>
    <row r="7" spans="1:14" ht="30" x14ac:dyDescent="0.25">
      <c r="A7" s="2">
        <v>25</v>
      </c>
      <c r="B7" s="48" t="s">
        <v>86</v>
      </c>
      <c r="C7" s="4">
        <v>975</v>
      </c>
      <c r="D7" s="13">
        <v>3</v>
      </c>
      <c r="E7" s="6">
        <v>0</v>
      </c>
      <c r="F7" s="7">
        <f t="shared" si="0"/>
        <v>18</v>
      </c>
      <c r="G7" s="7">
        <f t="shared" si="1"/>
        <v>1.8808777429467085</v>
      </c>
      <c r="H7" s="8">
        <v>16.43</v>
      </c>
      <c r="I7" s="9">
        <v>16019.25</v>
      </c>
      <c r="J7" s="18">
        <v>4</v>
      </c>
      <c r="K7" s="11">
        <v>0</v>
      </c>
      <c r="L7" s="12">
        <f t="shared" si="2"/>
        <v>-0.73379310344828141</v>
      </c>
      <c r="M7" s="7">
        <f t="shared" si="3"/>
        <v>-4.275238573581146</v>
      </c>
    </row>
    <row r="8" spans="1:14" x14ac:dyDescent="0.25">
      <c r="A8" s="2">
        <v>26</v>
      </c>
      <c r="B8" s="48" t="s">
        <v>87</v>
      </c>
      <c r="C8" s="4">
        <v>927</v>
      </c>
      <c r="D8" s="23">
        <v>8</v>
      </c>
      <c r="E8" s="6">
        <v>0</v>
      </c>
      <c r="F8" s="7">
        <f t="shared" si="0"/>
        <v>-48</v>
      </c>
      <c r="G8" s="7">
        <f t="shared" si="1"/>
        <v>-4.9230769230769234</v>
      </c>
      <c r="H8" s="8">
        <v>17.18905070118662</v>
      </c>
      <c r="I8" s="9">
        <v>15934.25</v>
      </c>
      <c r="J8" s="20">
        <v>5</v>
      </c>
      <c r="K8" s="11">
        <v>0</v>
      </c>
      <c r="L8" s="12">
        <f t="shared" si="2"/>
        <v>0.7590507011866201</v>
      </c>
      <c r="M8" s="7">
        <f t="shared" si="3"/>
        <v>4.619906884885089</v>
      </c>
    </row>
    <row r="9" spans="1:14" x14ac:dyDescent="0.25">
      <c r="A9" s="2">
        <v>27</v>
      </c>
      <c r="B9" s="48" t="s">
        <v>88</v>
      </c>
      <c r="C9" s="4">
        <v>957</v>
      </c>
      <c r="D9" s="47">
        <v>5.5</v>
      </c>
      <c r="E9" s="6">
        <v>0</v>
      </c>
      <c r="F9" s="7">
        <f t="shared" si="0"/>
        <v>30</v>
      </c>
      <c r="G9" s="7">
        <f t="shared" si="1"/>
        <v>3.2362459546925564</v>
      </c>
      <c r="H9" s="8">
        <v>16.296760710553819</v>
      </c>
      <c r="I9" s="9">
        <v>15596</v>
      </c>
      <c r="J9" s="22">
        <v>6</v>
      </c>
      <c r="K9" s="11">
        <v>0</v>
      </c>
      <c r="L9" s="12">
        <f t="shared" si="2"/>
        <v>-0.89228999063280057</v>
      </c>
      <c r="M9" s="7">
        <f t="shared" si="3"/>
        <v>-5.1910370511106976</v>
      </c>
    </row>
    <row r="10" spans="1:14" x14ac:dyDescent="0.25">
      <c r="A10" s="2">
        <v>28</v>
      </c>
      <c r="B10" s="48" t="s">
        <v>89</v>
      </c>
      <c r="C10" s="4">
        <v>923</v>
      </c>
      <c r="D10" s="25">
        <v>9</v>
      </c>
      <c r="E10" s="6">
        <v>0</v>
      </c>
      <c r="F10" s="7">
        <f t="shared" si="0"/>
        <v>-34</v>
      </c>
      <c r="G10" s="7">
        <f t="shared" si="1"/>
        <v>-3.5527690700104495</v>
      </c>
      <c r="H10" s="8">
        <v>16.641928494041171</v>
      </c>
      <c r="I10" s="9">
        <v>15360.5</v>
      </c>
      <c r="J10" s="24">
        <v>7</v>
      </c>
      <c r="K10" s="11">
        <v>0</v>
      </c>
      <c r="L10" s="12">
        <f t="shared" si="2"/>
        <v>0.34516778348735144</v>
      </c>
      <c r="M10" s="7">
        <f t="shared" si="3"/>
        <v>2.1180146755411338</v>
      </c>
    </row>
    <row r="11" spans="1:14" x14ac:dyDescent="0.25">
      <c r="A11" s="2">
        <v>29</v>
      </c>
      <c r="B11" s="48" t="s">
        <v>90</v>
      </c>
      <c r="C11" s="4">
        <v>940</v>
      </c>
      <c r="D11" s="21">
        <v>7</v>
      </c>
      <c r="E11" s="6">
        <v>0</v>
      </c>
      <c r="F11" s="7">
        <f t="shared" si="0"/>
        <v>17</v>
      </c>
      <c r="G11" s="7">
        <f t="shared" si="1"/>
        <v>1.8418201516793065</v>
      </c>
      <c r="H11" s="8">
        <v>16.25292553191489</v>
      </c>
      <c r="I11" s="9">
        <v>15277.75</v>
      </c>
      <c r="J11" s="26">
        <v>8</v>
      </c>
      <c r="K11" s="11">
        <v>0</v>
      </c>
      <c r="L11" s="12">
        <f t="shared" si="2"/>
        <v>-0.38900296212628049</v>
      </c>
      <c r="M11" s="7">
        <f t="shared" si="3"/>
        <v>-2.3374872825920829</v>
      </c>
    </row>
    <row r="12" spans="1:14" x14ac:dyDescent="0.25">
      <c r="A12" s="2">
        <v>30</v>
      </c>
      <c r="B12" s="48" t="s">
        <v>91</v>
      </c>
      <c r="C12" s="4">
        <v>987</v>
      </c>
      <c r="D12" s="19">
        <v>1</v>
      </c>
      <c r="E12" s="6">
        <v>0</v>
      </c>
      <c r="F12" s="7">
        <f t="shared" si="0"/>
        <v>47</v>
      </c>
      <c r="G12" s="7">
        <f t="shared" si="1"/>
        <v>5</v>
      </c>
      <c r="H12" s="8">
        <v>14.13956433637285</v>
      </c>
      <c r="I12" s="9">
        <v>13955.75</v>
      </c>
      <c r="J12" s="28">
        <v>9</v>
      </c>
      <c r="K12" s="11">
        <v>0</v>
      </c>
      <c r="L12" s="12">
        <f t="shared" si="2"/>
        <v>-2.1133611955420406</v>
      </c>
      <c r="M12" s="7">
        <f t="shared" si="3"/>
        <v>-13.002958706678132</v>
      </c>
    </row>
    <row r="13" spans="1:14" x14ac:dyDescent="0.25">
      <c r="A13" s="2">
        <v>31</v>
      </c>
      <c r="B13" s="48" t="s">
        <v>92</v>
      </c>
      <c r="C13" s="4">
        <v>480</v>
      </c>
      <c r="D13" s="29">
        <v>10</v>
      </c>
      <c r="E13" s="6">
        <v>0</v>
      </c>
      <c r="F13" s="7">
        <f t="shared" si="0"/>
        <v>-507</v>
      </c>
      <c r="G13" s="7">
        <f t="shared" si="1"/>
        <v>-51.367781155015201</v>
      </c>
      <c r="H13" s="8">
        <v>24.142708333333331</v>
      </c>
      <c r="I13" s="9">
        <v>11588.5</v>
      </c>
      <c r="J13" s="30">
        <v>10</v>
      </c>
      <c r="K13" s="11">
        <v>0</v>
      </c>
      <c r="L13" s="12">
        <f t="shared" si="2"/>
        <v>10.003143996960482</v>
      </c>
      <c r="M13" s="7">
        <f t="shared" si="3"/>
        <v>70.745772351897912</v>
      </c>
    </row>
    <row r="14" spans="1:14" ht="18.75" x14ac:dyDescent="0.3">
      <c r="A14" s="2" t="s">
        <v>12</v>
      </c>
      <c r="B14" s="31"/>
      <c r="C14" s="32">
        <f>SUBTOTAL(9,C4:C13)</f>
        <v>9087</v>
      </c>
      <c r="D14" s="31"/>
      <c r="E14" s="33">
        <f>SUBTOTAL(9,E4:E13)</f>
        <v>0</v>
      </c>
      <c r="F14" s="34">
        <f>SUBTOTAL(9,F4:F13)</f>
        <v>-500</v>
      </c>
      <c r="G14" s="34">
        <f>SUBTOTAL(9,G4:G13)</f>
        <v>-50.239691899518782</v>
      </c>
      <c r="H14" s="35">
        <f>SUBTOTAL(9,H4:H13)</f>
        <v>172.88143682150312</v>
      </c>
      <c r="I14" s="36">
        <f>SUBTOTAL(9,I4:I13)</f>
        <v>153759.75</v>
      </c>
      <c r="J14" s="31"/>
      <c r="K14" s="33">
        <f>SUBTOTAL(9,K4:K13)</f>
        <v>0</v>
      </c>
      <c r="L14" s="37">
        <f>SUBTOTAL(9,L4:L13)</f>
        <v>6.8975552721088427</v>
      </c>
      <c r="M14" s="34">
        <f>SUBTOTAL(9,M4:M13)</f>
        <v>52.214863047232136</v>
      </c>
    </row>
  </sheetData>
  <autoFilter ref="A3:M13" xr:uid="{00000000-0009-0000-0000-00000A000000}"/>
  <mergeCells count="1">
    <mergeCell ref="A1:N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7.7109375" customWidth="1"/>
    <col min="2" max="2" width="31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22.7109375" customWidth="1"/>
    <col min="12" max="12" width="19.7109375" customWidth="1"/>
    <col min="13" max="13" width="23.7109375" customWidth="1"/>
  </cols>
  <sheetData>
    <row r="1" spans="1:14" ht="18.75" x14ac:dyDescent="0.25">
      <c r="A1" s="84" t="s">
        <v>94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3" spans="1:14" s="1" customFormat="1" x14ac:dyDescent="0.25">
      <c r="B3" s="2" t="s">
        <v>69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22</v>
      </c>
      <c r="B4" s="48" t="s">
        <v>91</v>
      </c>
      <c r="C4" s="4">
        <v>987</v>
      </c>
      <c r="D4" s="19">
        <v>1</v>
      </c>
      <c r="E4" s="6">
        <v>0</v>
      </c>
      <c r="F4" s="7" t="str">
        <f t="shared" ref="F4:F13" si="0">IF(ROW()=4,"",C4-C3)</f>
        <v/>
      </c>
      <c r="G4" s="7" t="str">
        <f t="shared" ref="G4:G13" si="1">IF(ROW()=4,"",(C4-C3)/C3*100)</f>
        <v/>
      </c>
      <c r="H4" s="8">
        <v>14.13956433637285</v>
      </c>
      <c r="I4" s="9">
        <v>13955.75</v>
      </c>
      <c r="J4" s="28">
        <v>9</v>
      </c>
      <c r="K4" s="11">
        <v>0</v>
      </c>
      <c r="L4" s="12" t="str">
        <f t="shared" ref="L4:L13" si="2">IF(ROW()=4,"",H4-H3)</f>
        <v/>
      </c>
      <c r="M4" s="7" t="str">
        <f t="shared" ref="M4:M13" si="3">IF(ROW()=4,"",(H4-H3)/H3*100)</f>
        <v/>
      </c>
    </row>
    <row r="5" spans="1:14" x14ac:dyDescent="0.25">
      <c r="A5" s="2">
        <v>23</v>
      </c>
      <c r="B5" s="48" t="s">
        <v>83</v>
      </c>
      <c r="C5" s="4">
        <v>980</v>
      </c>
      <c r="D5" s="5">
        <v>2</v>
      </c>
      <c r="E5" s="6">
        <v>0</v>
      </c>
      <c r="F5" s="7">
        <f t="shared" si="0"/>
        <v>-7</v>
      </c>
      <c r="G5" s="7">
        <f t="shared" si="1"/>
        <v>-0.70921985815602839</v>
      </c>
      <c r="H5" s="8">
        <v>17.245153061224489</v>
      </c>
      <c r="I5" s="9">
        <v>16900.25</v>
      </c>
      <c r="J5" s="10">
        <v>1</v>
      </c>
      <c r="K5" s="11">
        <v>0</v>
      </c>
      <c r="L5" s="12">
        <f t="shared" si="2"/>
        <v>3.1055887248516392</v>
      </c>
      <c r="M5" s="7">
        <f t="shared" si="3"/>
        <v>21.9638218757757</v>
      </c>
    </row>
    <row r="6" spans="1:14" ht="30" x14ac:dyDescent="0.25">
      <c r="A6" s="2">
        <v>24</v>
      </c>
      <c r="B6" s="48" t="s">
        <v>86</v>
      </c>
      <c r="C6" s="4">
        <v>975</v>
      </c>
      <c r="D6" s="13">
        <v>3</v>
      </c>
      <c r="E6" s="6">
        <v>0</v>
      </c>
      <c r="F6" s="7">
        <f t="shared" si="0"/>
        <v>-5</v>
      </c>
      <c r="G6" s="7">
        <f t="shared" si="1"/>
        <v>-0.51020408163265307</v>
      </c>
      <c r="H6" s="8">
        <v>16.43</v>
      </c>
      <c r="I6" s="9">
        <v>16019.25</v>
      </c>
      <c r="J6" s="18">
        <v>4</v>
      </c>
      <c r="K6" s="11">
        <v>0</v>
      </c>
      <c r="L6" s="12">
        <f t="shared" si="2"/>
        <v>-0.81515306122448905</v>
      </c>
      <c r="M6" s="7">
        <f t="shared" si="3"/>
        <v>-4.7268531530598619</v>
      </c>
    </row>
    <row r="7" spans="1:14" x14ac:dyDescent="0.25">
      <c r="A7" s="2">
        <v>25</v>
      </c>
      <c r="B7" s="48" t="s">
        <v>84</v>
      </c>
      <c r="C7" s="4">
        <v>961</v>
      </c>
      <c r="D7" s="15">
        <v>4</v>
      </c>
      <c r="E7" s="6">
        <v>0</v>
      </c>
      <c r="F7" s="7">
        <f t="shared" si="0"/>
        <v>-14</v>
      </c>
      <c r="G7" s="7">
        <f t="shared" si="1"/>
        <v>-1.4358974358974359</v>
      </c>
      <c r="H7" s="8">
        <v>17.379552549427679</v>
      </c>
      <c r="I7" s="9">
        <v>16701.75</v>
      </c>
      <c r="J7" s="14">
        <v>2</v>
      </c>
      <c r="K7" s="11">
        <v>0</v>
      </c>
      <c r="L7" s="12">
        <f t="shared" si="2"/>
        <v>0.94955254942767908</v>
      </c>
      <c r="M7" s="7">
        <f t="shared" si="3"/>
        <v>5.7793825284703537</v>
      </c>
    </row>
    <row r="8" spans="1:14" x14ac:dyDescent="0.25">
      <c r="A8" s="2">
        <v>26</v>
      </c>
      <c r="B8" s="48" t="s">
        <v>85</v>
      </c>
      <c r="C8" s="4">
        <v>957</v>
      </c>
      <c r="D8" s="47">
        <v>5.5</v>
      </c>
      <c r="E8" s="6">
        <v>0</v>
      </c>
      <c r="F8" s="7">
        <f t="shared" si="0"/>
        <v>-4</v>
      </c>
      <c r="G8" s="7">
        <f t="shared" si="1"/>
        <v>-0.41623309053069724</v>
      </c>
      <c r="H8" s="8">
        <v>17.163793103448281</v>
      </c>
      <c r="I8" s="9">
        <v>16425.75</v>
      </c>
      <c r="J8" s="16">
        <v>3</v>
      </c>
      <c r="K8" s="11">
        <v>0</v>
      </c>
      <c r="L8" s="12">
        <f t="shared" si="2"/>
        <v>-0.21575944597939767</v>
      </c>
      <c r="M8" s="7">
        <f t="shared" si="3"/>
        <v>-1.2414557012660419</v>
      </c>
    </row>
    <row r="9" spans="1:14" x14ac:dyDescent="0.25">
      <c r="A9" s="2">
        <v>27</v>
      </c>
      <c r="B9" s="48" t="s">
        <v>88</v>
      </c>
      <c r="C9" s="4">
        <v>957</v>
      </c>
      <c r="D9" s="47">
        <v>5.5</v>
      </c>
      <c r="E9" s="6">
        <v>0</v>
      </c>
      <c r="F9" s="7">
        <f t="shared" si="0"/>
        <v>0</v>
      </c>
      <c r="G9" s="7">
        <f t="shared" si="1"/>
        <v>0</v>
      </c>
      <c r="H9" s="8">
        <v>16.296760710553819</v>
      </c>
      <c r="I9" s="9">
        <v>15596</v>
      </c>
      <c r="J9" s="22">
        <v>6</v>
      </c>
      <c r="K9" s="11">
        <v>0</v>
      </c>
      <c r="L9" s="12">
        <f t="shared" si="2"/>
        <v>-0.86703239289446188</v>
      </c>
      <c r="M9" s="7">
        <f t="shared" si="3"/>
        <v>-5.0515197175167028</v>
      </c>
    </row>
    <row r="10" spans="1:14" x14ac:dyDescent="0.25">
      <c r="A10" s="2">
        <v>28</v>
      </c>
      <c r="B10" s="48" t="s">
        <v>90</v>
      </c>
      <c r="C10" s="4">
        <v>940</v>
      </c>
      <c r="D10" s="21">
        <v>7</v>
      </c>
      <c r="E10" s="6">
        <v>0</v>
      </c>
      <c r="F10" s="7">
        <f t="shared" si="0"/>
        <v>-17</v>
      </c>
      <c r="G10" s="7">
        <f t="shared" si="1"/>
        <v>-1.7763845350052248</v>
      </c>
      <c r="H10" s="8">
        <v>16.25292553191489</v>
      </c>
      <c r="I10" s="9">
        <v>15277.75</v>
      </c>
      <c r="J10" s="26">
        <v>8</v>
      </c>
      <c r="K10" s="11">
        <v>0</v>
      </c>
      <c r="L10" s="12">
        <f t="shared" si="2"/>
        <v>-4.3835178638929051E-2</v>
      </c>
      <c r="M10" s="7">
        <f t="shared" si="3"/>
        <v>-0.268980930735157</v>
      </c>
    </row>
    <row r="11" spans="1:14" x14ac:dyDescent="0.25">
      <c r="A11" s="2">
        <v>29</v>
      </c>
      <c r="B11" s="48" t="s">
        <v>87</v>
      </c>
      <c r="C11" s="4">
        <v>927</v>
      </c>
      <c r="D11" s="23">
        <v>8</v>
      </c>
      <c r="E11" s="6">
        <v>0</v>
      </c>
      <c r="F11" s="7">
        <f t="shared" si="0"/>
        <v>-13</v>
      </c>
      <c r="G11" s="7">
        <f t="shared" si="1"/>
        <v>-1.3829787234042552</v>
      </c>
      <c r="H11" s="8">
        <v>17.18905070118662</v>
      </c>
      <c r="I11" s="9">
        <v>15934.25</v>
      </c>
      <c r="J11" s="20">
        <v>5</v>
      </c>
      <c r="K11" s="11">
        <v>0</v>
      </c>
      <c r="L11" s="12">
        <f t="shared" si="2"/>
        <v>0.93612516927172962</v>
      </c>
      <c r="M11" s="7">
        <f t="shared" si="3"/>
        <v>5.7597333319070287</v>
      </c>
    </row>
    <row r="12" spans="1:14" x14ac:dyDescent="0.25">
      <c r="A12" s="2">
        <v>30</v>
      </c>
      <c r="B12" s="48" t="s">
        <v>89</v>
      </c>
      <c r="C12" s="4">
        <v>923</v>
      </c>
      <c r="D12" s="25">
        <v>9</v>
      </c>
      <c r="E12" s="6">
        <v>0</v>
      </c>
      <c r="F12" s="7">
        <f t="shared" si="0"/>
        <v>-4</v>
      </c>
      <c r="G12" s="7">
        <f t="shared" si="1"/>
        <v>-0.43149946062567418</v>
      </c>
      <c r="H12" s="8">
        <v>16.641928494041171</v>
      </c>
      <c r="I12" s="9">
        <v>15360.5</v>
      </c>
      <c r="J12" s="24">
        <v>7</v>
      </c>
      <c r="K12" s="11">
        <v>0</v>
      </c>
      <c r="L12" s="12">
        <f t="shared" si="2"/>
        <v>-0.54712220714544912</v>
      </c>
      <c r="M12" s="7">
        <f t="shared" si="3"/>
        <v>-3.1829693021248664</v>
      </c>
    </row>
    <row r="13" spans="1:14" x14ac:dyDescent="0.25">
      <c r="A13" s="2">
        <v>31</v>
      </c>
      <c r="B13" s="48" t="s">
        <v>92</v>
      </c>
      <c r="C13" s="4">
        <v>480</v>
      </c>
      <c r="D13" s="29">
        <v>10</v>
      </c>
      <c r="E13" s="6">
        <v>0</v>
      </c>
      <c r="F13" s="7">
        <f t="shared" si="0"/>
        <v>-443</v>
      </c>
      <c r="G13" s="7">
        <f t="shared" si="1"/>
        <v>-47.995666305525461</v>
      </c>
      <c r="H13" s="8">
        <v>24.142708333333331</v>
      </c>
      <c r="I13" s="9">
        <v>11588.5</v>
      </c>
      <c r="J13" s="30">
        <v>10</v>
      </c>
      <c r="K13" s="11">
        <v>0</v>
      </c>
      <c r="L13" s="12">
        <f t="shared" si="2"/>
        <v>7.5007798392921607</v>
      </c>
      <c r="M13" s="7">
        <f t="shared" si="3"/>
        <v>45.071578344888927</v>
      </c>
    </row>
    <row r="14" spans="1:14" ht="18.75" x14ac:dyDescent="0.3">
      <c r="A14" s="2" t="s">
        <v>12</v>
      </c>
      <c r="B14" s="31"/>
      <c r="C14" s="32">
        <f>SUBTOTAL(9,C4:C13)</f>
        <v>9087</v>
      </c>
      <c r="D14" s="31"/>
      <c r="E14" s="33">
        <f>SUBTOTAL(9,E4:E13)</f>
        <v>0</v>
      </c>
      <c r="F14" s="34">
        <f>SUBTOTAL(9,F4:F13)</f>
        <v>-507</v>
      </c>
      <c r="G14" s="34">
        <f>SUBTOTAL(9,G4:G13)</f>
        <v>-54.658083490777429</v>
      </c>
      <c r="H14" s="35">
        <f>SUBTOTAL(9,H4:H13)</f>
        <v>172.88143682150314</v>
      </c>
      <c r="I14" s="36">
        <f>SUBTOTAL(9,I4:I13)</f>
        <v>153759.75</v>
      </c>
      <c r="J14" s="31"/>
      <c r="K14" s="33">
        <f>SUBTOTAL(9,K4:K13)</f>
        <v>0</v>
      </c>
      <c r="L14" s="37">
        <f>SUBTOTAL(9,L4:L13)</f>
        <v>10.003143996960482</v>
      </c>
      <c r="M14" s="34">
        <f>SUBTOTAL(9,M4:M13)</f>
        <v>64.102737276339383</v>
      </c>
    </row>
  </sheetData>
  <autoFilter ref="A3:M13" xr:uid="{00000000-0009-0000-0000-00000B000000}"/>
  <mergeCells count="1">
    <mergeCell ref="A1:N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7.7109375" customWidth="1"/>
    <col min="2" max="2" width="11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3.7109375" customWidth="1"/>
  </cols>
  <sheetData>
    <row r="1" spans="1:14" ht="18.75" x14ac:dyDescent="0.25">
      <c r="A1" s="84" t="s">
        <v>100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3" spans="1:14" s="1" customFormat="1" x14ac:dyDescent="0.25">
      <c r="B3" s="2" t="s">
        <v>95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49" t="s">
        <v>96</v>
      </c>
      <c r="C4" s="4">
        <v>14579</v>
      </c>
      <c r="D4" s="19">
        <v>1</v>
      </c>
      <c r="E4" s="6">
        <v>0</v>
      </c>
      <c r="F4" s="7" t="str">
        <f>IF(ROW()=4,"",C4-C3)</f>
        <v/>
      </c>
      <c r="G4" s="7" t="str">
        <f>IF(ROW()=4,"",(C4-C3)/C3*100)</f>
        <v/>
      </c>
      <c r="H4" s="8">
        <v>15.093840455449619</v>
      </c>
      <c r="I4" s="9">
        <v>220053.1</v>
      </c>
      <c r="J4" s="10">
        <v>1</v>
      </c>
      <c r="K4" s="11">
        <v>0</v>
      </c>
      <c r="L4" s="12" t="str">
        <f>IF(ROW()=4,"",H4-H3)</f>
        <v/>
      </c>
      <c r="M4" s="7" t="str">
        <f>IF(ROW()=4,"",(H4-H3)/H3*100)</f>
        <v/>
      </c>
    </row>
    <row r="5" spans="1:14" x14ac:dyDescent="0.25">
      <c r="A5" s="2">
        <v>1</v>
      </c>
      <c r="B5" s="49" t="s">
        <v>97</v>
      </c>
      <c r="C5" s="4">
        <v>11777</v>
      </c>
      <c r="D5" s="15">
        <v>2</v>
      </c>
      <c r="E5" s="6">
        <v>0</v>
      </c>
      <c r="F5" s="7">
        <f>IF(ROW()=4,"",C5-C4)</f>
        <v>-2802</v>
      </c>
      <c r="G5" s="7">
        <f>IF(ROW()=4,"",(C5-C4)/C4*100)</f>
        <v>-19.219425200631044</v>
      </c>
      <c r="H5" s="8">
        <v>17.67827120658912</v>
      </c>
      <c r="I5" s="9">
        <v>208197</v>
      </c>
      <c r="J5" s="18">
        <v>2</v>
      </c>
      <c r="K5" s="11">
        <v>0</v>
      </c>
      <c r="L5" s="12">
        <f>IF(ROW()=4,"",H5-H4)</f>
        <v>2.5844307511395002</v>
      </c>
      <c r="M5" s="7">
        <f>IF(ROW()=4,"",(H5-H4)/H4*100)</f>
        <v>17.122419961755945</v>
      </c>
    </row>
    <row r="6" spans="1:14" x14ac:dyDescent="0.25">
      <c r="A6" s="2">
        <v>2</v>
      </c>
      <c r="B6" s="49" t="s">
        <v>98</v>
      </c>
      <c r="C6" s="4">
        <v>10815</v>
      </c>
      <c r="D6" s="29">
        <v>4</v>
      </c>
      <c r="E6" s="6">
        <v>0</v>
      </c>
      <c r="F6" s="7">
        <f>IF(ROW()=4,"",C6-C5)</f>
        <v>-962</v>
      </c>
      <c r="G6" s="7">
        <f>IF(ROW()=4,"",(C6-C5)/C5*100)</f>
        <v>-8.1684639551668514</v>
      </c>
      <c r="H6" s="8">
        <v>18.115533980582519</v>
      </c>
      <c r="I6" s="9">
        <v>195919.5</v>
      </c>
      <c r="J6" s="24">
        <v>3</v>
      </c>
      <c r="K6" s="11">
        <v>0</v>
      </c>
      <c r="L6" s="12">
        <f>IF(ROW()=4,"",H6-H5)</f>
        <v>0.43726277399339963</v>
      </c>
      <c r="M6" s="7">
        <f>IF(ROW()=4,"",(H6-H5)/H5*100)</f>
        <v>2.4734475949798824</v>
      </c>
    </row>
    <row r="7" spans="1:14" x14ac:dyDescent="0.25">
      <c r="A7" s="2">
        <v>3</v>
      </c>
      <c r="B7" s="49" t="s">
        <v>99</v>
      </c>
      <c r="C7" s="4">
        <v>11449</v>
      </c>
      <c r="D7" s="21">
        <v>3</v>
      </c>
      <c r="E7" s="6">
        <v>0</v>
      </c>
      <c r="F7" s="7">
        <f>IF(ROW()=4,"",C7-C6)</f>
        <v>634</v>
      </c>
      <c r="G7" s="7">
        <f>IF(ROW()=4,"",(C7-C6)/C6*100)</f>
        <v>5.8622283865002309</v>
      </c>
      <c r="H7" s="8">
        <v>16.917674032666611</v>
      </c>
      <c r="I7" s="9">
        <v>193690.45</v>
      </c>
      <c r="J7" s="30">
        <v>4</v>
      </c>
      <c r="K7" s="11">
        <v>0</v>
      </c>
      <c r="L7" s="12">
        <f>IF(ROW()=4,"",H7-H6)</f>
        <v>-1.1978599479159087</v>
      </c>
      <c r="M7" s="7">
        <f>IF(ROW()=4,"",(H7-H6)/H6*100)</f>
        <v>-6.6123358505460432</v>
      </c>
    </row>
    <row r="8" spans="1:14" ht="18.75" x14ac:dyDescent="0.3">
      <c r="A8" s="2" t="s">
        <v>12</v>
      </c>
      <c r="B8" s="31"/>
      <c r="C8" s="32">
        <f>SUBTOTAL(9,C4:C7)</f>
        <v>48620</v>
      </c>
      <c r="D8" s="31"/>
      <c r="E8" s="33">
        <f>SUBTOTAL(9,E4:E7)</f>
        <v>0</v>
      </c>
      <c r="F8" s="34">
        <f>SUBTOTAL(9,F4:F7)</f>
        <v>-3130</v>
      </c>
      <c r="G8" s="34">
        <f>SUBTOTAL(9,G4:G7)</f>
        <v>-21.525660769297662</v>
      </c>
      <c r="H8" s="35">
        <f>SUBTOTAL(9,H4:H7)</f>
        <v>67.805319675287876</v>
      </c>
      <c r="I8" s="36">
        <f>SUBTOTAL(9,I4:I7)</f>
        <v>817860.05</v>
      </c>
      <c r="J8" s="31"/>
      <c r="K8" s="33">
        <f>SUBTOTAL(9,K4:K7)</f>
        <v>0</v>
      </c>
      <c r="L8" s="37">
        <f>SUBTOTAL(9,L4:L7)</f>
        <v>1.8238335772169911</v>
      </c>
      <c r="M8" s="34">
        <f>SUBTOTAL(9,M4:M7)</f>
        <v>12.983531706189783</v>
      </c>
    </row>
  </sheetData>
  <autoFilter ref="A3:M7" xr:uid="{00000000-0009-0000-0000-00000C000000}"/>
  <mergeCells count="1">
    <mergeCell ref="A1:N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2" width="7.7109375" customWidth="1"/>
    <col min="3" max="3" width="8.7109375" customWidth="1"/>
    <col min="4" max="4" width="13.7109375" customWidth="1"/>
    <col min="5" max="5" width="24.7109375" customWidth="1"/>
    <col min="6" max="6" width="13.7109375" customWidth="1"/>
    <col min="7" max="7" width="22.7109375" customWidth="1"/>
    <col min="8" max="9" width="21.7109375" customWidth="1"/>
    <col min="10" max="10" width="13.7109375" customWidth="1"/>
    <col min="11" max="11" width="24.7109375" customWidth="1"/>
    <col min="12" max="12" width="22.7109375" customWidth="1"/>
    <col min="13" max="13" width="23.7109375" customWidth="1"/>
  </cols>
  <sheetData>
    <row r="1" spans="1:14" ht="18.75" x14ac:dyDescent="0.25">
      <c r="A1" s="84" t="s">
        <v>107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3" spans="1:14" s="1" customFormat="1" x14ac:dyDescent="0.25">
      <c r="B3" s="2" t="s">
        <v>101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50" t="s">
        <v>102</v>
      </c>
      <c r="C4" s="4">
        <v>18526</v>
      </c>
      <c r="D4" s="19">
        <v>1</v>
      </c>
      <c r="E4" s="6">
        <v>0</v>
      </c>
      <c r="F4" s="7" t="str">
        <f>IF(ROW()=4,"",C4-C3)</f>
        <v/>
      </c>
      <c r="G4" s="7" t="str">
        <f>IF(ROW()=4,"",(C4-C3)/C3*100)</f>
        <v/>
      </c>
      <c r="H4" s="8">
        <v>20.25902515383785</v>
      </c>
      <c r="I4" s="9">
        <v>375318.7</v>
      </c>
      <c r="J4" s="10">
        <v>1</v>
      </c>
      <c r="K4" s="11">
        <v>0</v>
      </c>
      <c r="L4" s="12" t="str">
        <f>IF(ROW()=4,"",H4-H3)</f>
        <v/>
      </c>
      <c r="M4" s="7" t="str">
        <f>IF(ROW()=4,"",(H4-H3)/H3*100)</f>
        <v/>
      </c>
    </row>
    <row r="5" spans="1:14" x14ac:dyDescent="0.25">
      <c r="A5" s="2">
        <v>1</v>
      </c>
      <c r="B5" s="50" t="s">
        <v>103</v>
      </c>
      <c r="C5" s="4">
        <v>15385</v>
      </c>
      <c r="D5" s="51">
        <v>2</v>
      </c>
      <c r="E5" s="6">
        <v>0</v>
      </c>
      <c r="F5" s="7">
        <f>IF(ROW()=4,"",C5-C4)</f>
        <v>-3141</v>
      </c>
      <c r="G5" s="7">
        <f>IF(ROW()=4,"",(C5-C4)/C4*100)</f>
        <v>-16.95455036165389</v>
      </c>
      <c r="H5" s="8">
        <v>16.209441013974651</v>
      </c>
      <c r="I5" s="9">
        <v>249382.25</v>
      </c>
      <c r="J5" s="52">
        <v>2</v>
      </c>
      <c r="K5" s="11">
        <v>0</v>
      </c>
      <c r="L5" s="12">
        <f>IF(ROW()=4,"",H5-H4)</f>
        <v>-4.0495841398631995</v>
      </c>
      <c r="M5" s="7">
        <f>IF(ROW()=4,"",(H5-H4)/H4*100)</f>
        <v>-19.989037523338336</v>
      </c>
    </row>
    <row r="6" spans="1:14" x14ac:dyDescent="0.25">
      <c r="A6" s="2">
        <v>2</v>
      </c>
      <c r="B6" s="50" t="s">
        <v>104</v>
      </c>
      <c r="C6" s="4">
        <v>14137</v>
      </c>
      <c r="D6" s="47">
        <v>3</v>
      </c>
      <c r="E6" s="6">
        <v>0</v>
      </c>
      <c r="F6" s="7">
        <f>IF(ROW()=4,"",C6-C5)</f>
        <v>-1248</v>
      </c>
      <c r="G6" s="7">
        <f>IF(ROW()=4,"",(C6-C5)/C5*100)</f>
        <v>-8.1117972050698732</v>
      </c>
      <c r="H6" s="8">
        <v>12.59648440263139</v>
      </c>
      <c r="I6" s="9">
        <v>178076.5</v>
      </c>
      <c r="J6" s="53">
        <v>3</v>
      </c>
      <c r="K6" s="11">
        <v>0</v>
      </c>
      <c r="L6" s="12">
        <f>IF(ROW()=4,"",H6-H5)</f>
        <v>-3.612956611343261</v>
      </c>
      <c r="M6" s="7">
        <f>IF(ROW()=4,"",(H6-H5)/H5*100)</f>
        <v>-22.289211628139562</v>
      </c>
    </row>
    <row r="7" spans="1:14" x14ac:dyDescent="0.25">
      <c r="A7" s="2">
        <v>3</v>
      </c>
      <c r="B7" s="50" t="s">
        <v>105</v>
      </c>
      <c r="C7" s="4">
        <v>544</v>
      </c>
      <c r="D7" s="54">
        <v>4</v>
      </c>
      <c r="E7" s="6">
        <v>0</v>
      </c>
      <c r="F7" s="7">
        <f>IF(ROW()=4,"",C7-C6)</f>
        <v>-13593</v>
      </c>
      <c r="G7" s="7">
        <f>IF(ROW()=4,"",(C7-C6)/C6*100)</f>
        <v>-96.151941713234777</v>
      </c>
      <c r="H7" s="8">
        <v>25.875</v>
      </c>
      <c r="I7" s="9">
        <v>14076</v>
      </c>
      <c r="J7" s="55">
        <v>4</v>
      </c>
      <c r="K7" s="11">
        <v>0</v>
      </c>
      <c r="L7" s="12">
        <f>IF(ROW()=4,"",H7-H6)</f>
        <v>13.27851559736861</v>
      </c>
      <c r="M7" s="7">
        <f>IF(ROW()=4,"",(H7-H6)/H6*100)</f>
        <v>105.41445670821253</v>
      </c>
    </row>
    <row r="8" spans="1:14" x14ac:dyDescent="0.25">
      <c r="A8" s="2">
        <v>4</v>
      </c>
      <c r="B8" s="50" t="s">
        <v>106</v>
      </c>
      <c r="C8" s="4">
        <v>28</v>
      </c>
      <c r="D8" s="29">
        <v>5</v>
      </c>
      <c r="E8" s="6">
        <v>0</v>
      </c>
      <c r="F8" s="7">
        <f>IF(ROW()=4,"",C8-C7)</f>
        <v>-516</v>
      </c>
      <c r="G8" s="7">
        <f>IF(ROW()=4,"",(C8-C7)/C7*100)</f>
        <v>-94.85294117647058</v>
      </c>
      <c r="H8" s="8">
        <v>35.950000000000003</v>
      </c>
      <c r="I8" s="9">
        <v>1006.6</v>
      </c>
      <c r="J8" s="30">
        <v>5</v>
      </c>
      <c r="K8" s="11">
        <v>0</v>
      </c>
      <c r="L8" s="12">
        <f>IF(ROW()=4,"",H8-H7)</f>
        <v>10.075000000000003</v>
      </c>
      <c r="M8" s="7">
        <f>IF(ROW()=4,"",(H8-H7)/H7*100)</f>
        <v>38.937198067632863</v>
      </c>
    </row>
    <row r="9" spans="1:14" ht="18.75" x14ac:dyDescent="0.3">
      <c r="A9" s="2" t="s">
        <v>12</v>
      </c>
      <c r="B9" s="31"/>
      <c r="C9" s="32">
        <f>SUBTOTAL(9,C4:C8)</f>
        <v>48620</v>
      </c>
      <c r="D9" s="31"/>
      <c r="E9" s="33">
        <f>SUBTOTAL(9,E4:E8)</f>
        <v>0</v>
      </c>
      <c r="F9" s="34">
        <f>SUBTOTAL(9,F4:F8)</f>
        <v>-18498</v>
      </c>
      <c r="G9" s="34">
        <f>SUBTOTAL(9,G4:G8)</f>
        <v>-216.07123045642913</v>
      </c>
      <c r="H9" s="35">
        <f>SUBTOTAL(9,H4:H8)</f>
        <v>110.8899505704439</v>
      </c>
      <c r="I9" s="36">
        <f>SUBTOTAL(9,I4:I8)</f>
        <v>817860.04999999993</v>
      </c>
      <c r="J9" s="31"/>
      <c r="K9" s="33">
        <f>SUBTOTAL(9,K4:K8)</f>
        <v>0</v>
      </c>
      <c r="L9" s="37">
        <f>SUBTOTAL(9,L4:L8)</f>
        <v>15.690974846162153</v>
      </c>
      <c r="M9" s="34">
        <f>SUBTOTAL(9,M4:M8)</f>
        <v>102.0734056243675</v>
      </c>
    </row>
  </sheetData>
  <autoFilter ref="A3:M8" xr:uid="{00000000-0009-0000-0000-00000D000000}"/>
  <mergeCells count="1">
    <mergeCell ref="A1:N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3.7109375" customWidth="1"/>
  </cols>
  <sheetData>
    <row r="1" spans="1:14" ht="18.75" x14ac:dyDescent="0.25">
      <c r="A1" s="84" t="s">
        <v>116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3" spans="1:14" s="1" customFormat="1" x14ac:dyDescent="0.25">
      <c r="B3" s="2" t="s">
        <v>108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56" t="s">
        <v>109</v>
      </c>
      <c r="C4" s="4">
        <v>6369</v>
      </c>
      <c r="D4" s="57">
        <v>6</v>
      </c>
      <c r="E4" s="6">
        <v>0</v>
      </c>
      <c r="F4" s="7" t="str">
        <f t="shared" ref="F4:F10" si="0">IF(ROW()=4,"",C4-C3)</f>
        <v/>
      </c>
      <c r="G4" s="7" t="str">
        <f t="shared" ref="G4:G10" si="1">IF(ROW()=4,"",(C4-C3)/C3*100)</f>
        <v/>
      </c>
      <c r="H4" s="8">
        <v>16.851868425184492</v>
      </c>
      <c r="I4" s="9">
        <v>107329.55</v>
      </c>
      <c r="J4" s="58">
        <v>6</v>
      </c>
      <c r="K4" s="11">
        <v>0</v>
      </c>
      <c r="L4" s="12" t="str">
        <f t="shared" ref="L4:L10" si="2">IF(ROW()=4,"",H4-H3)</f>
        <v/>
      </c>
      <c r="M4" s="7" t="str">
        <f t="shared" ref="M4:M10" si="3">IF(ROW()=4,"",(H4-H3)/H3*100)</f>
        <v/>
      </c>
    </row>
    <row r="5" spans="1:14" x14ac:dyDescent="0.25">
      <c r="A5" s="2">
        <v>1</v>
      </c>
      <c r="B5" s="56" t="s">
        <v>110</v>
      </c>
      <c r="C5" s="4">
        <v>6753</v>
      </c>
      <c r="D5" s="21">
        <v>5</v>
      </c>
      <c r="E5" s="6">
        <v>0</v>
      </c>
      <c r="F5" s="7">
        <f t="shared" si="0"/>
        <v>384</v>
      </c>
      <c r="G5" s="7">
        <f t="shared" si="1"/>
        <v>6.0292039566650963</v>
      </c>
      <c r="H5" s="8">
        <v>16.901199466903599</v>
      </c>
      <c r="I5" s="9">
        <v>114133.8</v>
      </c>
      <c r="J5" s="24">
        <v>5</v>
      </c>
      <c r="K5" s="11">
        <v>0</v>
      </c>
      <c r="L5" s="12">
        <f t="shared" si="2"/>
        <v>4.933104171910685E-2</v>
      </c>
      <c r="M5" s="7">
        <f t="shared" si="3"/>
        <v>0.29273336626212582</v>
      </c>
    </row>
    <row r="6" spans="1:14" x14ac:dyDescent="0.25">
      <c r="A6" s="2">
        <v>2</v>
      </c>
      <c r="B6" s="56" t="s">
        <v>111</v>
      </c>
      <c r="C6" s="4">
        <v>6797</v>
      </c>
      <c r="D6" s="47">
        <v>4</v>
      </c>
      <c r="E6" s="6">
        <v>0</v>
      </c>
      <c r="F6" s="7">
        <f t="shared" si="0"/>
        <v>44</v>
      </c>
      <c r="G6" s="7">
        <f t="shared" si="1"/>
        <v>0.65156226862135347</v>
      </c>
      <c r="H6" s="8">
        <v>16.832190672355448</v>
      </c>
      <c r="I6" s="9">
        <v>114408.4</v>
      </c>
      <c r="J6" s="53">
        <v>4</v>
      </c>
      <c r="K6" s="11">
        <v>0</v>
      </c>
      <c r="L6" s="12">
        <f t="shared" si="2"/>
        <v>-6.9008794548150121E-2</v>
      </c>
      <c r="M6" s="7">
        <f t="shared" si="3"/>
        <v>-0.40830708307587921</v>
      </c>
    </row>
    <row r="7" spans="1:14" x14ac:dyDescent="0.25">
      <c r="A7" s="2">
        <v>3</v>
      </c>
      <c r="B7" s="56" t="s">
        <v>112</v>
      </c>
      <c r="C7" s="4">
        <v>7323</v>
      </c>
      <c r="D7" s="15">
        <v>3</v>
      </c>
      <c r="E7" s="6">
        <v>0</v>
      </c>
      <c r="F7" s="7">
        <f t="shared" si="0"/>
        <v>526</v>
      </c>
      <c r="G7" s="7">
        <f t="shared" si="1"/>
        <v>7.7387082536413114</v>
      </c>
      <c r="H7" s="8">
        <v>16.868564795848691</v>
      </c>
      <c r="I7" s="9">
        <v>123528.5</v>
      </c>
      <c r="J7" s="59">
        <v>2</v>
      </c>
      <c r="K7" s="11">
        <v>0</v>
      </c>
      <c r="L7" s="12">
        <f t="shared" si="2"/>
        <v>3.6374123493242649E-2</v>
      </c>
      <c r="M7" s="7">
        <f t="shared" si="3"/>
        <v>0.2160985708947685</v>
      </c>
    </row>
    <row r="8" spans="1:14" x14ac:dyDescent="0.25">
      <c r="A8" s="2">
        <v>4</v>
      </c>
      <c r="B8" s="56" t="s">
        <v>113</v>
      </c>
      <c r="C8" s="4">
        <v>8106</v>
      </c>
      <c r="D8" s="19">
        <v>1</v>
      </c>
      <c r="E8" s="6">
        <v>0</v>
      </c>
      <c r="F8" s="7">
        <f t="shared" si="0"/>
        <v>783</v>
      </c>
      <c r="G8" s="7">
        <f t="shared" si="1"/>
        <v>10.692339205243753</v>
      </c>
      <c r="H8" s="8">
        <v>16.786812237848508</v>
      </c>
      <c r="I8" s="9">
        <v>136073.9</v>
      </c>
      <c r="J8" s="10">
        <v>1</v>
      </c>
      <c r="K8" s="11">
        <v>0</v>
      </c>
      <c r="L8" s="12">
        <f t="shared" si="2"/>
        <v>-8.1752558000182773E-2</v>
      </c>
      <c r="M8" s="7">
        <f t="shared" si="3"/>
        <v>-0.48464441989932577</v>
      </c>
    </row>
    <row r="9" spans="1:14" x14ac:dyDescent="0.25">
      <c r="A9" s="2">
        <v>5</v>
      </c>
      <c r="B9" s="56" t="s">
        <v>114</v>
      </c>
      <c r="C9" s="4">
        <v>7355</v>
      </c>
      <c r="D9" s="60">
        <v>2</v>
      </c>
      <c r="E9" s="6">
        <v>0</v>
      </c>
      <c r="F9" s="7">
        <f t="shared" si="0"/>
        <v>-751</v>
      </c>
      <c r="G9" s="7">
        <f t="shared" si="1"/>
        <v>-9.2647421662965712</v>
      </c>
      <c r="H9" s="8">
        <v>16.748116927260369</v>
      </c>
      <c r="I9" s="9">
        <v>123182.39999999999</v>
      </c>
      <c r="J9" s="18">
        <v>3</v>
      </c>
      <c r="K9" s="11">
        <v>0</v>
      </c>
      <c r="L9" s="12">
        <f t="shared" si="2"/>
        <v>-3.8695310588138909E-2</v>
      </c>
      <c r="M9" s="7">
        <f t="shared" si="3"/>
        <v>-0.23051017691670039</v>
      </c>
    </row>
    <row r="10" spans="1:14" x14ac:dyDescent="0.25">
      <c r="A10" s="2">
        <v>6</v>
      </c>
      <c r="B10" s="56" t="s">
        <v>115</v>
      </c>
      <c r="C10" s="4">
        <v>5917</v>
      </c>
      <c r="D10" s="29">
        <v>7</v>
      </c>
      <c r="E10" s="6">
        <v>0</v>
      </c>
      <c r="F10" s="7">
        <f t="shared" si="0"/>
        <v>-1438</v>
      </c>
      <c r="G10" s="7">
        <f t="shared" si="1"/>
        <v>-19.551325628823928</v>
      </c>
      <c r="H10" s="8">
        <v>16.7658441777928</v>
      </c>
      <c r="I10" s="9">
        <v>99203.5</v>
      </c>
      <c r="J10" s="30">
        <v>7</v>
      </c>
      <c r="K10" s="11">
        <v>0</v>
      </c>
      <c r="L10" s="12">
        <f t="shared" si="2"/>
        <v>1.7727250532431071E-2</v>
      </c>
      <c r="M10" s="7">
        <f t="shared" si="3"/>
        <v>0.10584623100867536</v>
      </c>
    </row>
    <row r="11" spans="1:14" ht="18.75" x14ac:dyDescent="0.3">
      <c r="A11" s="2" t="s">
        <v>12</v>
      </c>
      <c r="B11" s="31"/>
      <c r="C11" s="32">
        <f>SUBTOTAL(9,C4:C10)</f>
        <v>48620</v>
      </c>
      <c r="D11" s="31"/>
      <c r="E11" s="33">
        <f>SUBTOTAL(9,E4:E10)</f>
        <v>0</v>
      </c>
      <c r="F11" s="34">
        <f>SUBTOTAL(9,F4:F10)</f>
        <v>-452</v>
      </c>
      <c r="G11" s="34">
        <f>SUBTOTAL(9,G4:G10)</f>
        <v>-3.7042541109489839</v>
      </c>
      <c r="H11" s="35">
        <f>SUBTOTAL(9,H4:H10)</f>
        <v>117.75459670319391</v>
      </c>
      <c r="I11" s="36">
        <f>SUBTOTAL(9,I4:I10)</f>
        <v>817860.05</v>
      </c>
      <c r="J11" s="31"/>
      <c r="K11" s="33">
        <f>SUBTOTAL(9,K4:K10)</f>
        <v>0</v>
      </c>
      <c r="L11" s="37">
        <f>SUBTOTAL(9,L4:L10)</f>
        <v>-8.6024247391691233E-2</v>
      </c>
      <c r="M11" s="34">
        <f>SUBTOTAL(9,M4:M10)</f>
        <v>-0.50878351172633562</v>
      </c>
    </row>
  </sheetData>
  <autoFilter ref="A3:M10" xr:uid="{00000000-0009-0000-0000-00000E000000}"/>
  <mergeCells count="1">
    <mergeCell ref="A1:N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1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2" width="22.7109375" customWidth="1"/>
    <col min="13" max="13" width="23.7109375" customWidth="1"/>
  </cols>
  <sheetData>
    <row r="1" spans="1:14" ht="18.75" x14ac:dyDescent="0.25">
      <c r="A1" s="84" t="s">
        <v>130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3" spans="1:14" s="1" customFormat="1" x14ac:dyDescent="0.25">
      <c r="B3" s="2" t="s">
        <v>117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61" t="s">
        <v>118</v>
      </c>
      <c r="C4" s="4">
        <v>4156</v>
      </c>
      <c r="D4" s="62">
        <v>5</v>
      </c>
      <c r="E4" s="6">
        <v>0</v>
      </c>
      <c r="F4" s="7" t="str">
        <f t="shared" ref="F4:F15" si="0">IF(ROW()=4,"",C4-C3)</f>
        <v/>
      </c>
      <c r="G4" s="7" t="str">
        <f t="shared" ref="G4:G15" si="1">IF(ROW()=4,"",(C4-C3)/C3*100)</f>
        <v/>
      </c>
      <c r="H4" s="8">
        <v>16.793383060635229</v>
      </c>
      <c r="I4" s="9">
        <v>69793.3</v>
      </c>
      <c r="J4" s="63">
        <v>5</v>
      </c>
      <c r="K4" s="11">
        <v>0</v>
      </c>
      <c r="L4" s="12" t="str">
        <f t="shared" ref="L4:L15" si="2">IF(ROW()=4,"",H4-H3)</f>
        <v/>
      </c>
      <c r="M4" s="7" t="str">
        <f t="shared" ref="M4:M15" si="3">IF(ROW()=4,"",(H4-H3)/H3*100)</f>
        <v/>
      </c>
    </row>
    <row r="5" spans="1:14" x14ac:dyDescent="0.25">
      <c r="A5" s="2">
        <v>1</v>
      </c>
      <c r="B5" s="61" t="s">
        <v>119</v>
      </c>
      <c r="C5" s="4">
        <v>3892</v>
      </c>
      <c r="D5" s="64">
        <v>9</v>
      </c>
      <c r="E5" s="6">
        <v>0</v>
      </c>
      <c r="F5" s="7">
        <f t="shared" si="0"/>
        <v>-264</v>
      </c>
      <c r="G5" s="7">
        <f t="shared" si="1"/>
        <v>-6.3522617901828689</v>
      </c>
      <c r="H5" s="8">
        <v>16.741932168550871</v>
      </c>
      <c r="I5" s="9">
        <v>65159.6</v>
      </c>
      <c r="J5" s="65">
        <v>9</v>
      </c>
      <c r="K5" s="11">
        <v>0</v>
      </c>
      <c r="L5" s="12">
        <f t="shared" si="2"/>
        <v>-5.1450892084357491E-2</v>
      </c>
      <c r="M5" s="7">
        <f t="shared" si="3"/>
        <v>-0.30637598093597768</v>
      </c>
    </row>
    <row r="6" spans="1:14" x14ac:dyDescent="0.25">
      <c r="A6" s="2">
        <v>2</v>
      </c>
      <c r="B6" s="61" t="s">
        <v>120</v>
      </c>
      <c r="C6" s="4">
        <v>4186</v>
      </c>
      <c r="D6" s="66">
        <v>3</v>
      </c>
      <c r="E6" s="6">
        <v>0</v>
      </c>
      <c r="F6" s="7">
        <f t="shared" si="0"/>
        <v>294</v>
      </c>
      <c r="G6" s="7">
        <f t="shared" si="1"/>
        <v>7.5539568345323742</v>
      </c>
      <c r="H6" s="8">
        <v>16.817271858576209</v>
      </c>
      <c r="I6" s="9">
        <v>70397.100000000006</v>
      </c>
      <c r="J6" s="67">
        <v>3</v>
      </c>
      <c r="K6" s="11">
        <v>0</v>
      </c>
      <c r="L6" s="12">
        <f t="shared" si="2"/>
        <v>7.5339690025337802E-2</v>
      </c>
      <c r="M6" s="7">
        <f t="shared" si="3"/>
        <v>0.45000594475505495</v>
      </c>
    </row>
    <row r="7" spans="1:14" x14ac:dyDescent="0.25">
      <c r="A7" s="2">
        <v>3</v>
      </c>
      <c r="B7" s="61" t="s">
        <v>121</v>
      </c>
      <c r="C7" s="4">
        <v>4067</v>
      </c>
      <c r="D7" s="68">
        <v>7</v>
      </c>
      <c r="E7" s="6">
        <v>0</v>
      </c>
      <c r="F7" s="7">
        <f t="shared" si="0"/>
        <v>-119</v>
      </c>
      <c r="G7" s="7">
        <f t="shared" si="1"/>
        <v>-2.8428093645484949</v>
      </c>
      <c r="H7" s="8">
        <v>16.901106466683061</v>
      </c>
      <c r="I7" s="9">
        <v>68736.800000000003</v>
      </c>
      <c r="J7" s="69">
        <v>6</v>
      </c>
      <c r="K7" s="11">
        <v>0</v>
      </c>
      <c r="L7" s="12">
        <f t="shared" si="2"/>
        <v>8.3834608106851505E-2</v>
      </c>
      <c r="M7" s="7">
        <f t="shared" si="3"/>
        <v>0.49850302006088365</v>
      </c>
    </row>
    <row r="8" spans="1:14" x14ac:dyDescent="0.25">
      <c r="A8" s="2">
        <v>4</v>
      </c>
      <c r="B8" s="61" t="s">
        <v>122</v>
      </c>
      <c r="C8" s="4">
        <v>4239</v>
      </c>
      <c r="D8" s="70">
        <v>2</v>
      </c>
      <c r="E8" s="6">
        <v>0</v>
      </c>
      <c r="F8" s="7">
        <f t="shared" si="0"/>
        <v>172</v>
      </c>
      <c r="G8" s="7">
        <f t="shared" si="1"/>
        <v>4.2291615441357271</v>
      </c>
      <c r="H8" s="8">
        <v>16.844243925454119</v>
      </c>
      <c r="I8" s="9">
        <v>71402.75</v>
      </c>
      <c r="J8" s="71">
        <v>2</v>
      </c>
      <c r="K8" s="11">
        <v>0</v>
      </c>
      <c r="L8" s="12">
        <f t="shared" si="2"/>
        <v>-5.686254122894141E-2</v>
      </c>
      <c r="M8" s="7">
        <f t="shared" si="3"/>
        <v>-0.33644271362371347</v>
      </c>
    </row>
    <row r="9" spans="1:14" x14ac:dyDescent="0.25">
      <c r="A9" s="2">
        <v>5</v>
      </c>
      <c r="B9" s="61" t="s">
        <v>123</v>
      </c>
      <c r="C9" s="4">
        <v>4025</v>
      </c>
      <c r="D9" s="72">
        <v>8</v>
      </c>
      <c r="E9" s="6">
        <v>0</v>
      </c>
      <c r="F9" s="7">
        <f t="shared" si="0"/>
        <v>-214</v>
      </c>
      <c r="G9" s="7">
        <f t="shared" si="1"/>
        <v>-5.0483604623732008</v>
      </c>
      <c r="H9" s="8">
        <v>16.951602484472051</v>
      </c>
      <c r="I9" s="9">
        <v>68230.2</v>
      </c>
      <c r="J9" s="73">
        <v>8</v>
      </c>
      <c r="K9" s="11">
        <v>0</v>
      </c>
      <c r="L9" s="12">
        <f t="shared" si="2"/>
        <v>0.10735855901793201</v>
      </c>
      <c r="M9" s="7">
        <f t="shared" si="3"/>
        <v>0.63736051017224649</v>
      </c>
    </row>
    <row r="10" spans="1:14" x14ac:dyDescent="0.25">
      <c r="A10" s="2">
        <v>6</v>
      </c>
      <c r="B10" s="61" t="s">
        <v>124</v>
      </c>
      <c r="C10" s="4">
        <v>4301</v>
      </c>
      <c r="D10" s="19">
        <v>1</v>
      </c>
      <c r="E10" s="6">
        <v>0</v>
      </c>
      <c r="F10" s="7">
        <f t="shared" si="0"/>
        <v>276</v>
      </c>
      <c r="G10" s="7">
        <f t="shared" si="1"/>
        <v>6.8571428571428577</v>
      </c>
      <c r="H10" s="8">
        <v>16.87000697512206</v>
      </c>
      <c r="I10" s="9">
        <v>72557.899999999994</v>
      </c>
      <c r="J10" s="10">
        <v>1</v>
      </c>
      <c r="K10" s="11">
        <v>0</v>
      </c>
      <c r="L10" s="12">
        <f t="shared" si="2"/>
        <v>-8.1595509349991602E-2</v>
      </c>
      <c r="M10" s="7">
        <f t="shared" si="3"/>
        <v>-0.48134392854442198</v>
      </c>
    </row>
    <row r="11" spans="1:14" x14ac:dyDescent="0.25">
      <c r="A11" s="2">
        <v>7</v>
      </c>
      <c r="B11" s="61" t="s">
        <v>125</v>
      </c>
      <c r="C11" s="4">
        <v>4094</v>
      </c>
      <c r="D11" s="74">
        <v>6</v>
      </c>
      <c r="E11" s="6">
        <v>0</v>
      </c>
      <c r="F11" s="7">
        <f t="shared" si="0"/>
        <v>-207</v>
      </c>
      <c r="G11" s="7">
        <f t="shared" si="1"/>
        <v>-4.8128342245989302</v>
      </c>
      <c r="H11" s="8">
        <v>16.677638006839281</v>
      </c>
      <c r="I11" s="9">
        <v>68278.25</v>
      </c>
      <c r="J11" s="75">
        <v>7</v>
      </c>
      <c r="K11" s="11">
        <v>0</v>
      </c>
      <c r="L11" s="12">
        <f t="shared" si="2"/>
        <v>-0.1923689682827785</v>
      </c>
      <c r="M11" s="7">
        <f t="shared" si="3"/>
        <v>-1.1403016523138494</v>
      </c>
    </row>
    <row r="12" spans="1:14" x14ac:dyDescent="0.25">
      <c r="A12" s="2">
        <v>8</v>
      </c>
      <c r="B12" s="61" t="s">
        <v>126</v>
      </c>
      <c r="C12" s="4">
        <v>3819</v>
      </c>
      <c r="D12" s="76">
        <v>11</v>
      </c>
      <c r="E12" s="6">
        <v>0</v>
      </c>
      <c r="F12" s="7">
        <f t="shared" si="0"/>
        <v>-275</v>
      </c>
      <c r="G12" s="7">
        <f t="shared" si="1"/>
        <v>-6.7171470444553005</v>
      </c>
      <c r="H12" s="8">
        <v>16.80545954438335</v>
      </c>
      <c r="I12" s="9">
        <v>64180.05</v>
      </c>
      <c r="J12" s="77">
        <v>11</v>
      </c>
      <c r="K12" s="11">
        <v>0</v>
      </c>
      <c r="L12" s="12">
        <f t="shared" si="2"/>
        <v>0.12782153754406878</v>
      </c>
      <c r="M12" s="7">
        <f t="shared" si="3"/>
        <v>0.76642470289648235</v>
      </c>
    </row>
    <row r="13" spans="1:14" x14ac:dyDescent="0.25">
      <c r="A13" s="2">
        <v>9</v>
      </c>
      <c r="B13" s="61" t="s">
        <v>127</v>
      </c>
      <c r="C13" s="4">
        <v>3797</v>
      </c>
      <c r="D13" s="29">
        <v>12</v>
      </c>
      <c r="E13" s="6">
        <v>0</v>
      </c>
      <c r="F13" s="7">
        <f t="shared" si="0"/>
        <v>-22</v>
      </c>
      <c r="G13" s="7">
        <f t="shared" si="1"/>
        <v>-0.57606703325477882</v>
      </c>
      <c r="H13" s="8">
        <v>16.86268106399789</v>
      </c>
      <c r="I13" s="9">
        <v>64027.6</v>
      </c>
      <c r="J13" s="30">
        <v>12</v>
      </c>
      <c r="K13" s="11">
        <v>0</v>
      </c>
      <c r="L13" s="12">
        <f t="shared" si="2"/>
        <v>5.7221519614540028E-2</v>
      </c>
      <c r="M13" s="7">
        <f t="shared" si="3"/>
        <v>0.34049363222360896</v>
      </c>
    </row>
    <row r="14" spans="1:14" x14ac:dyDescent="0.25">
      <c r="A14" s="2">
        <v>10</v>
      </c>
      <c r="B14" s="61" t="s">
        <v>128</v>
      </c>
      <c r="C14" s="4">
        <v>4185</v>
      </c>
      <c r="D14" s="78">
        <v>4</v>
      </c>
      <c r="E14" s="6">
        <v>0</v>
      </c>
      <c r="F14" s="7">
        <f t="shared" si="0"/>
        <v>388</v>
      </c>
      <c r="G14" s="7">
        <f t="shared" si="1"/>
        <v>10.218593626547275</v>
      </c>
      <c r="H14" s="8">
        <v>16.82087216248507</v>
      </c>
      <c r="I14" s="9">
        <v>70395.350000000006</v>
      </c>
      <c r="J14" s="79">
        <v>4</v>
      </c>
      <c r="K14" s="11">
        <v>0</v>
      </c>
      <c r="L14" s="12">
        <f t="shared" si="2"/>
        <v>-4.1808901512819574E-2</v>
      </c>
      <c r="M14" s="7">
        <f t="shared" si="3"/>
        <v>-0.24793745048100499</v>
      </c>
    </row>
    <row r="15" spans="1:14" x14ac:dyDescent="0.25">
      <c r="A15" s="2">
        <v>11</v>
      </c>
      <c r="B15" s="61" t="s">
        <v>129</v>
      </c>
      <c r="C15" s="4">
        <v>3859</v>
      </c>
      <c r="D15" s="80">
        <v>10</v>
      </c>
      <c r="E15" s="6">
        <v>0</v>
      </c>
      <c r="F15" s="7">
        <f t="shared" si="0"/>
        <v>-326</v>
      </c>
      <c r="G15" s="7">
        <f t="shared" si="1"/>
        <v>-7.7897252090800482</v>
      </c>
      <c r="H15" s="8">
        <v>16.766299559471371</v>
      </c>
      <c r="I15" s="9">
        <v>64701.15</v>
      </c>
      <c r="J15" s="81">
        <v>10</v>
      </c>
      <c r="K15" s="11">
        <v>0</v>
      </c>
      <c r="L15" s="12">
        <f t="shared" si="2"/>
        <v>-5.4572603013699705E-2</v>
      </c>
      <c r="M15" s="7">
        <f t="shared" si="3"/>
        <v>-0.32443384912829215</v>
      </c>
    </row>
    <row r="16" spans="1:14" ht="18.75" x14ac:dyDescent="0.3">
      <c r="A16" s="2" t="s">
        <v>12</v>
      </c>
      <c r="B16" s="31"/>
      <c r="C16" s="32">
        <f>SUBTOTAL(9,C4:C15)</f>
        <v>48620</v>
      </c>
      <c r="D16" s="31"/>
      <c r="E16" s="33">
        <f>SUBTOTAL(9,E4:E15)</f>
        <v>0</v>
      </c>
      <c r="F16" s="34">
        <f>SUBTOTAL(9,F4:F15)</f>
        <v>-297</v>
      </c>
      <c r="G16" s="34">
        <f>SUBTOTAL(9,G4:G15)</f>
        <v>-5.2803502661353878</v>
      </c>
      <c r="H16" s="35">
        <f>SUBTOTAL(9,H4:H15)</f>
        <v>201.85249727667056</v>
      </c>
      <c r="I16" s="36">
        <f>SUBTOTAL(9,I4:I15)</f>
        <v>817860.05</v>
      </c>
      <c r="J16" s="31"/>
      <c r="K16" s="33">
        <f>SUBTOTAL(9,K4:K15)</f>
        <v>0</v>
      </c>
      <c r="L16" s="37">
        <f>SUBTOTAL(9,L4:L15)</f>
        <v>-2.7083501163858159E-2</v>
      </c>
      <c r="M16" s="34">
        <f>SUBTOTAL(9,M4:M15)</f>
        <v>-0.14404776491898322</v>
      </c>
    </row>
  </sheetData>
  <autoFilter ref="A3:M15" xr:uid="{00000000-0009-0000-0000-00000F000000}"/>
  <mergeCells count="1">
    <mergeCell ref="A1:N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7.7109375" customWidth="1"/>
    <col min="2" max="2" width="10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20.7109375" customWidth="1"/>
    <col min="10" max="10" width="13.7109375" customWidth="1"/>
    <col min="11" max="12" width="22.7109375" customWidth="1"/>
    <col min="13" max="13" width="23.7109375" customWidth="1"/>
  </cols>
  <sheetData>
    <row r="1" spans="1:14" ht="18.75" x14ac:dyDescent="0.25">
      <c r="A1" s="84" t="s">
        <v>136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3" spans="1:14" s="1" customFormat="1" x14ac:dyDescent="0.25">
      <c r="B3" s="2" t="s">
        <v>131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82" t="s">
        <v>132</v>
      </c>
      <c r="C4" s="4">
        <v>12234</v>
      </c>
      <c r="D4" s="15">
        <v>2</v>
      </c>
      <c r="E4" s="6">
        <v>0</v>
      </c>
      <c r="F4" s="7" t="str">
        <f>IF(ROW()=4,"",C4-C3)</f>
        <v/>
      </c>
      <c r="G4" s="7" t="str">
        <f>IF(ROW()=4,"",(C4-C3)/C3*100)</f>
        <v/>
      </c>
      <c r="H4" s="8">
        <v>16.785188818048059</v>
      </c>
      <c r="I4" s="9">
        <v>205350</v>
      </c>
      <c r="J4" s="18">
        <v>2</v>
      </c>
      <c r="K4" s="11">
        <v>0</v>
      </c>
      <c r="L4" s="12" t="str">
        <f>IF(ROW()=4,"",H4-H3)</f>
        <v/>
      </c>
      <c r="M4" s="7" t="str">
        <f>IF(ROW()=4,"",(H4-H3)/H3*100)</f>
        <v/>
      </c>
    </row>
    <row r="5" spans="1:14" x14ac:dyDescent="0.25">
      <c r="A5" s="2">
        <v>1</v>
      </c>
      <c r="B5" s="82" t="s">
        <v>133</v>
      </c>
      <c r="C5" s="4">
        <v>12331</v>
      </c>
      <c r="D5" s="19">
        <v>1</v>
      </c>
      <c r="E5" s="6">
        <v>0</v>
      </c>
      <c r="F5" s="7">
        <f>IF(ROW()=4,"",C5-C4)</f>
        <v>97</v>
      </c>
      <c r="G5" s="7">
        <f>IF(ROW()=4,"",(C5-C4)/C4*100)</f>
        <v>0.7928723230341671</v>
      </c>
      <c r="H5" s="8">
        <v>16.89804152136891</v>
      </c>
      <c r="I5" s="9">
        <v>208369.75</v>
      </c>
      <c r="J5" s="10">
        <v>1</v>
      </c>
      <c r="K5" s="11">
        <v>0</v>
      </c>
      <c r="L5" s="12">
        <f>IF(ROW()=4,"",H5-H4)</f>
        <v>0.11285270332085062</v>
      </c>
      <c r="M5" s="7">
        <f>IF(ROW()=4,"",(H5-H4)/H4*100)</f>
        <v>0.67233502431326364</v>
      </c>
    </row>
    <row r="6" spans="1:14" x14ac:dyDescent="0.25">
      <c r="A6" s="2">
        <v>2</v>
      </c>
      <c r="B6" s="82" t="s">
        <v>134</v>
      </c>
      <c r="C6" s="4">
        <v>12214</v>
      </c>
      <c r="D6" s="21">
        <v>3</v>
      </c>
      <c r="E6" s="6">
        <v>0</v>
      </c>
      <c r="F6" s="7">
        <f>IF(ROW()=4,"",C6-C5)</f>
        <v>-117</v>
      </c>
      <c r="G6" s="7">
        <f>IF(ROW()=4,"",(C6-C5)/C5*100)</f>
        <v>-0.94882815667829046</v>
      </c>
      <c r="H6" s="8">
        <v>16.785344686425411</v>
      </c>
      <c r="I6" s="9">
        <v>205016.2</v>
      </c>
      <c r="J6" s="24">
        <v>3</v>
      </c>
      <c r="K6" s="11">
        <v>0</v>
      </c>
      <c r="L6" s="12">
        <f>IF(ROW()=4,"",H6-H5)</f>
        <v>-0.11269683494349891</v>
      </c>
      <c r="M6" s="7">
        <f>IF(ROW()=4,"",(H6-H5)/H5*100)</f>
        <v>-0.66692246436360603</v>
      </c>
    </row>
    <row r="7" spans="1:14" x14ac:dyDescent="0.25">
      <c r="A7" s="2">
        <v>3</v>
      </c>
      <c r="B7" s="82" t="s">
        <v>135</v>
      </c>
      <c r="C7" s="4">
        <v>11841</v>
      </c>
      <c r="D7" s="29">
        <v>4</v>
      </c>
      <c r="E7" s="6">
        <v>0</v>
      </c>
      <c r="F7" s="7">
        <f>IF(ROW()=4,"",C7-C6)</f>
        <v>-373</v>
      </c>
      <c r="G7" s="7">
        <f>IF(ROW()=4,"",(C7-C6)/C6*100)</f>
        <v>-3.0538726052071397</v>
      </c>
      <c r="H7" s="8">
        <v>16.816493539397008</v>
      </c>
      <c r="I7" s="9">
        <v>199124.1</v>
      </c>
      <c r="J7" s="30">
        <v>4</v>
      </c>
      <c r="K7" s="11">
        <v>0</v>
      </c>
      <c r="L7" s="12">
        <f>IF(ROW()=4,"",H7-H6)</f>
        <v>3.1148852971597307E-2</v>
      </c>
      <c r="M7" s="7">
        <f>IF(ROW()=4,"",(H7-H6)/H6*100)</f>
        <v>0.18557172076893902</v>
      </c>
    </row>
    <row r="8" spans="1:14" ht="18.75" x14ac:dyDescent="0.3">
      <c r="A8" s="2" t="s">
        <v>12</v>
      </c>
      <c r="B8" s="31"/>
      <c r="C8" s="32">
        <f>SUBTOTAL(9,C4:C7)</f>
        <v>48620</v>
      </c>
      <c r="D8" s="31"/>
      <c r="E8" s="33">
        <f>SUBTOTAL(9,E4:E7)</f>
        <v>0</v>
      </c>
      <c r="F8" s="34">
        <f>SUBTOTAL(9,F4:F7)</f>
        <v>-393</v>
      </c>
      <c r="G8" s="34">
        <f>SUBTOTAL(9,G4:G7)</f>
        <v>-3.2098284388512628</v>
      </c>
      <c r="H8" s="35">
        <f>SUBTOTAL(9,H4:H7)</f>
        <v>67.285068565239385</v>
      </c>
      <c r="I8" s="36">
        <f>SUBTOTAL(9,I4:I7)</f>
        <v>817860.04999999993</v>
      </c>
      <c r="J8" s="31"/>
      <c r="K8" s="33">
        <f>SUBTOTAL(9,K4:K7)</f>
        <v>0</v>
      </c>
      <c r="L8" s="37">
        <f>SUBTOTAL(9,L4:L7)</f>
        <v>3.1304721348949016E-2</v>
      </c>
      <c r="M8" s="34">
        <f>SUBTOTAL(9,M4:M7)</f>
        <v>0.19098428071859663</v>
      </c>
    </row>
  </sheetData>
  <autoFilter ref="A3:M7" xr:uid="{00000000-0009-0000-0000-000010000000}"/>
  <mergeCells count="1"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N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1" width="7.7109375" customWidth="1"/>
    <col min="2" max="2" width="16.7109375" customWidth="1"/>
    <col min="3" max="3" width="8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21.7109375" customWidth="1"/>
    <col min="9" max="9" width="20.7109375" customWidth="1"/>
    <col min="10" max="10" width="13.7109375" customWidth="1"/>
    <col min="11" max="12" width="22.7109375" customWidth="1"/>
    <col min="13" max="13" width="23.7109375" customWidth="1"/>
  </cols>
  <sheetData>
    <row r="1" spans="1:14" ht="18.75" x14ac:dyDescent="0.25">
      <c r="A1" s="84" t="s">
        <v>142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3" spans="1:14" s="1" customFormat="1" x14ac:dyDescent="0.25">
      <c r="B3" s="2" t="s">
        <v>137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82" t="s">
        <v>138</v>
      </c>
      <c r="C4" s="4">
        <v>12234</v>
      </c>
      <c r="D4" s="15">
        <v>2</v>
      </c>
      <c r="E4" s="6">
        <v>0</v>
      </c>
      <c r="F4" s="7" t="str">
        <f>IF(ROW()=4,"",C4-C3)</f>
        <v/>
      </c>
      <c r="G4" s="7" t="str">
        <f>IF(ROW()=4,"",(C4-C3)/C3*100)</f>
        <v/>
      </c>
      <c r="H4" s="8">
        <v>16.785188818048059</v>
      </c>
      <c r="I4" s="9">
        <v>205350</v>
      </c>
      <c r="J4" s="18">
        <v>2</v>
      </c>
      <c r="K4" s="11">
        <v>0</v>
      </c>
      <c r="L4" s="12" t="str">
        <f>IF(ROW()=4,"",H4-H3)</f>
        <v/>
      </c>
      <c r="M4" s="7" t="str">
        <f>IF(ROW()=4,"",(H4-H3)/H3*100)</f>
        <v/>
      </c>
    </row>
    <row r="5" spans="1:14" x14ac:dyDescent="0.25">
      <c r="A5" s="2">
        <v>1</v>
      </c>
      <c r="B5" s="82" t="s">
        <v>139</v>
      </c>
      <c r="C5" s="4">
        <v>12331</v>
      </c>
      <c r="D5" s="19">
        <v>1</v>
      </c>
      <c r="E5" s="6">
        <v>0</v>
      </c>
      <c r="F5" s="7">
        <f>IF(ROW()=4,"",C5-C4)</f>
        <v>97</v>
      </c>
      <c r="G5" s="7">
        <f>IF(ROW()=4,"",(C5-C4)/C4*100)</f>
        <v>0.7928723230341671</v>
      </c>
      <c r="H5" s="8">
        <v>16.89804152136891</v>
      </c>
      <c r="I5" s="9">
        <v>208369.75</v>
      </c>
      <c r="J5" s="10">
        <v>1</v>
      </c>
      <c r="K5" s="11">
        <v>0</v>
      </c>
      <c r="L5" s="12">
        <f>IF(ROW()=4,"",H5-H4)</f>
        <v>0.11285270332085062</v>
      </c>
      <c r="M5" s="7">
        <f>IF(ROW()=4,"",(H5-H4)/H4*100)</f>
        <v>0.67233502431326364</v>
      </c>
    </row>
    <row r="6" spans="1:14" x14ac:dyDescent="0.25">
      <c r="A6" s="2">
        <v>2</v>
      </c>
      <c r="B6" s="82" t="s">
        <v>140</v>
      </c>
      <c r="C6" s="4">
        <v>12214</v>
      </c>
      <c r="D6" s="21">
        <v>3</v>
      </c>
      <c r="E6" s="6">
        <v>0</v>
      </c>
      <c r="F6" s="7">
        <f>IF(ROW()=4,"",C6-C5)</f>
        <v>-117</v>
      </c>
      <c r="G6" s="7">
        <f>IF(ROW()=4,"",(C6-C5)/C5*100)</f>
        <v>-0.94882815667829046</v>
      </c>
      <c r="H6" s="8">
        <v>16.785344686425411</v>
      </c>
      <c r="I6" s="9">
        <v>205016.2</v>
      </c>
      <c r="J6" s="24">
        <v>3</v>
      </c>
      <c r="K6" s="11">
        <v>0</v>
      </c>
      <c r="L6" s="12">
        <f>IF(ROW()=4,"",H6-H5)</f>
        <v>-0.11269683494349891</v>
      </c>
      <c r="M6" s="7">
        <f>IF(ROW()=4,"",(H6-H5)/H5*100)</f>
        <v>-0.66692246436360603</v>
      </c>
    </row>
    <row r="7" spans="1:14" x14ac:dyDescent="0.25">
      <c r="A7" s="2">
        <v>3</v>
      </c>
      <c r="B7" s="82" t="s">
        <v>141</v>
      </c>
      <c r="C7" s="4">
        <v>11841</v>
      </c>
      <c r="D7" s="29">
        <v>4</v>
      </c>
      <c r="E7" s="6">
        <v>0</v>
      </c>
      <c r="F7" s="7">
        <f>IF(ROW()=4,"",C7-C6)</f>
        <v>-373</v>
      </c>
      <c r="G7" s="7">
        <f>IF(ROW()=4,"",(C7-C6)/C6*100)</f>
        <v>-3.0538726052071397</v>
      </c>
      <c r="H7" s="8">
        <v>16.816493539397008</v>
      </c>
      <c r="I7" s="9">
        <v>199124.1</v>
      </c>
      <c r="J7" s="30">
        <v>4</v>
      </c>
      <c r="K7" s="11">
        <v>0</v>
      </c>
      <c r="L7" s="12">
        <f>IF(ROW()=4,"",H7-H6)</f>
        <v>3.1148852971597307E-2</v>
      </c>
      <c r="M7" s="7">
        <f>IF(ROW()=4,"",(H7-H6)/H6*100)</f>
        <v>0.18557172076893902</v>
      </c>
    </row>
    <row r="8" spans="1:14" ht="18.75" x14ac:dyDescent="0.3">
      <c r="A8" s="2" t="s">
        <v>12</v>
      </c>
      <c r="B8" s="31"/>
      <c r="C8" s="32">
        <f>SUBTOTAL(9,C4:C7)</f>
        <v>48620</v>
      </c>
      <c r="D8" s="31"/>
      <c r="E8" s="33">
        <f>SUBTOTAL(9,E4:E7)</f>
        <v>0</v>
      </c>
      <c r="F8" s="34">
        <f>SUBTOTAL(9,F4:F7)</f>
        <v>-393</v>
      </c>
      <c r="G8" s="34">
        <f>SUBTOTAL(9,G4:G7)</f>
        <v>-3.2098284388512628</v>
      </c>
      <c r="H8" s="35">
        <f>SUBTOTAL(9,H4:H7)</f>
        <v>67.285068565239385</v>
      </c>
      <c r="I8" s="36">
        <f>SUBTOTAL(9,I4:I7)</f>
        <v>817860.04999999993</v>
      </c>
      <c r="J8" s="31"/>
      <c r="K8" s="33">
        <f>SUBTOTAL(9,K4:K7)</f>
        <v>0</v>
      </c>
      <c r="L8" s="37">
        <f>SUBTOTAL(9,L4:L7)</f>
        <v>3.1304721348949016E-2</v>
      </c>
      <c r="M8" s="34">
        <f>SUBTOTAL(9,M4:M7)</f>
        <v>0.19098428071859663</v>
      </c>
    </row>
  </sheetData>
  <autoFilter ref="A3:M7" xr:uid="{00000000-0009-0000-0000-000011000000}"/>
  <mergeCells count="1">
    <mergeCell ref="A1:N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5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 x14ac:dyDescent="0.25"/>
  <cols>
    <col min="1" max="2" width="7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17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 ht="18.75" x14ac:dyDescent="0.25">
      <c r="A1" s="84" t="s">
        <v>145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</row>
    <row r="3" spans="1:14" s="1" customFormat="1" x14ac:dyDescent="0.25">
      <c r="B3" s="2" t="s">
        <v>143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</row>
    <row r="4" spans="1:14" x14ac:dyDescent="0.25">
      <c r="A4" s="2">
        <v>0</v>
      </c>
      <c r="B4" s="83" t="s">
        <v>144</v>
      </c>
      <c r="C4" s="4">
        <v>48620</v>
      </c>
      <c r="D4" s="19">
        <v>1</v>
      </c>
      <c r="E4" s="6">
        <v>0</v>
      </c>
      <c r="F4" s="7" t="str">
        <f>IF(ROW()=4,"",C4-C3)</f>
        <v/>
      </c>
      <c r="G4" s="7" t="str">
        <f>IF(ROW()=4,"",(C4-C3)/C3*100)</f>
        <v/>
      </c>
      <c r="H4" s="8">
        <v>16.821473673385441</v>
      </c>
      <c r="I4" s="9">
        <v>817860.05</v>
      </c>
      <c r="J4" s="10">
        <v>1</v>
      </c>
      <c r="K4" s="11">
        <v>0</v>
      </c>
      <c r="L4" s="12" t="str">
        <f>IF(ROW()=4,"",H4-H3)</f>
        <v/>
      </c>
      <c r="M4" s="7" t="str">
        <f>IF(ROW()=4,"",(H4-H3)/H3*100)</f>
        <v/>
      </c>
    </row>
    <row r="5" spans="1:14" ht="18.75" x14ac:dyDescent="0.3">
      <c r="A5" s="2" t="s">
        <v>12</v>
      </c>
      <c r="B5" s="31"/>
      <c r="C5" s="32">
        <f>SUBTOTAL(9,C4:C4)</f>
        <v>48620</v>
      </c>
      <c r="D5" s="31"/>
      <c r="E5" s="33">
        <f>SUBTOTAL(9,E4:E4)</f>
        <v>0</v>
      </c>
      <c r="F5" s="34">
        <f>SUBTOTAL(9,F4:F4)</f>
        <v>0</v>
      </c>
      <c r="G5" s="34">
        <f>SUBTOTAL(9,G4:G4)</f>
        <v>0</v>
      </c>
      <c r="H5" s="35">
        <f>SUBTOTAL(9,H4:H4)</f>
        <v>16.821473673385441</v>
      </c>
      <c r="I5" s="36">
        <f>SUBTOTAL(9,I4:I4)</f>
        <v>817860.05</v>
      </c>
      <c r="J5" s="31"/>
      <c r="K5" s="33">
        <f>SUBTOTAL(9,K4:K4)</f>
        <v>0</v>
      </c>
      <c r="L5" s="37">
        <f>SUBTOTAL(9,L4:L4)</f>
        <v>0</v>
      </c>
      <c r="M5" s="34">
        <f>SUBTOTAL(9,M4:M4)</f>
        <v>0</v>
      </c>
    </row>
  </sheetData>
  <autoFilter ref="A3:M4" xr:uid="{00000000-0009-0000-0000-000012000000}"/>
  <mergeCells count="1">
    <mergeCell ref="A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Top 10 Pizza IDs (T S)</vt:lpstr>
      <vt:lpstr>Top 10 Pizza IDs (C)</vt:lpstr>
      <vt:lpstr>Bottom 10 Pizza IDs (T S)</vt:lpstr>
      <vt:lpstr>Bottom 10 Pizza IDs (C)</vt:lpstr>
      <vt:lpstr>Top 10 Pizza Type IDs (T S)</vt:lpstr>
      <vt:lpstr>Top 10 Pizza Type IDs (C)</vt:lpstr>
      <vt:lpstr>Bottom 10 Pizza Type IDs (T S)</vt:lpstr>
      <vt:lpstr>Bottom 10 Pizza Type IDs (C)</vt:lpstr>
      <vt:lpstr>Top 10 Names (T S)</vt:lpstr>
      <vt:lpstr>Top 10 Names (C)</vt:lpstr>
      <vt:lpstr>Bottom 10 Names (T S)</vt:lpstr>
      <vt:lpstr>Bottom 10 Names (C)</vt:lpstr>
      <vt:lpstr>Top Categories (T S)</vt:lpstr>
      <vt:lpstr>Top Sizes (T S)</vt:lpstr>
      <vt:lpstr>Top Days</vt:lpstr>
      <vt:lpstr>Top Months</vt:lpstr>
      <vt:lpstr>Top Quarters</vt:lpstr>
      <vt:lpstr>Top Quarter Labels</vt:lpstr>
      <vt:lpstr>Top Years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Vernyuy YM</dc:creator>
  <cp:lastModifiedBy>Vernyuy YM</cp:lastModifiedBy>
  <dcterms:created xsi:type="dcterms:W3CDTF">2025-12-04T13:32:26Z</dcterms:created>
  <dcterms:modified xsi:type="dcterms:W3CDTF">2025-12-04T13:34:07Z</dcterms:modified>
</cp:coreProperties>
</file>