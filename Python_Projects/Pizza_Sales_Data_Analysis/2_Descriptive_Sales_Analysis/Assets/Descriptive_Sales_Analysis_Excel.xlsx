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 Pizza IDs (T S)" sheetId="1" r:id="rId1"/>
    <sheet name="Top 10 Pizza IDs (C)" sheetId="2" r:id="rId2"/>
    <sheet name="Bottom 10 Pizza IDs (T S)" sheetId="3" r:id="rId3"/>
    <sheet name="Bottom 10 Pizza IDs (C)" sheetId="4" r:id="rId4"/>
    <sheet name="Top 10 Pizza Type IDs (T S)" sheetId="5" r:id="rId5"/>
    <sheet name="Top 10 Pizza Type IDs (C)" sheetId="6" r:id="rId6"/>
    <sheet name="Bottom 10 Pizza Type IDs (T S)" sheetId="7" r:id="rId7"/>
    <sheet name="Bottom 10 Pizza Type IDs (C)" sheetId="8" r:id="rId8"/>
    <sheet name="Top 10 Names (T S)" sheetId="9" r:id="rId9"/>
    <sheet name="Top 10 Names (C)" sheetId="10" r:id="rId10"/>
    <sheet name="Bottom 10 Names (T S)" sheetId="11" r:id="rId11"/>
    <sheet name="Bottom 10 Names (C)" sheetId="12" r:id="rId12"/>
    <sheet name="Top Categories (T S)" sheetId="13" r:id="rId13"/>
    <sheet name="Top Sizes (T S)" sheetId="14" r:id="rId14"/>
    <sheet name="Top Days" sheetId="15" r:id="rId15"/>
    <sheet name="Top Months" sheetId="16" r:id="rId16"/>
    <sheet name="Top Quarters" sheetId="17" r:id="rId17"/>
    <sheet name="Top Quarter Labels" sheetId="18" r:id="rId18"/>
    <sheet name="Top Years" sheetId="19" r:id="rId19"/>
  </sheets>
  <definedNames>
    <definedName name="_xlnm._FilterDatabase" localSheetId="11" hidden="1">'Bottom 10 Names (C)'!$A$3:$M$13</definedName>
    <definedName name="_xlnm._FilterDatabase" localSheetId="10" hidden="1">'Bottom 10 Names (T S)'!$A$3:$M$13</definedName>
    <definedName name="_xlnm._FilterDatabase" localSheetId="3" hidden="1">'Bottom 10 Pizza IDs (C)'!$A$3:$M$13</definedName>
    <definedName name="_xlnm._FilterDatabase" localSheetId="2" hidden="1">'Bottom 10 Pizza IDs (T S)'!$A$3:$M$13</definedName>
    <definedName name="_xlnm._FilterDatabase" localSheetId="7" hidden="1">'Bottom 10 Pizza Type IDs (C)'!$A$3:$M$13</definedName>
    <definedName name="_xlnm._FilterDatabase" localSheetId="6" hidden="1">'Bottom 10 Pizza Type IDs (T S)'!$A$3:$M$13</definedName>
    <definedName name="_xlnm._FilterDatabase" localSheetId="9" hidden="1">'Top 10 Names (C)'!$A$3:$M$13</definedName>
    <definedName name="_xlnm._FilterDatabase" localSheetId="8" hidden="1">'Top 10 Names (T S)'!$A$3:$M$13</definedName>
    <definedName name="_xlnm._FilterDatabase" localSheetId="1" hidden="1">'Top 10 Pizza IDs (C)'!$A$3:$M$13</definedName>
    <definedName name="_xlnm._FilterDatabase" localSheetId="0" hidden="1">'Top 10 Pizza IDs (T S)'!$A$3:$M$13</definedName>
    <definedName name="_xlnm._FilterDatabase" localSheetId="5" hidden="1">'Top 10 Pizza Type IDs (C)'!$A$3:$M$13</definedName>
    <definedName name="_xlnm._FilterDatabase" localSheetId="4" hidden="1">'Top 10 Pizza Type IDs (T S)'!$A$3:$M$13</definedName>
    <definedName name="_xlnm._FilterDatabase" localSheetId="12" hidden="1">'Top Categories (T S)'!$A$3:$M$7</definedName>
    <definedName name="_xlnm._FilterDatabase" localSheetId="14" hidden="1">'Top Days'!$A$3:$M$10</definedName>
    <definedName name="_xlnm._FilterDatabase" localSheetId="15" hidden="1">'Top Months'!$A$3:$M$15</definedName>
    <definedName name="_xlnm._FilterDatabase" localSheetId="17" hidden="1">'Top Quarter Labels'!$A$3:$M$7</definedName>
    <definedName name="_xlnm._FilterDatabase" localSheetId="16" hidden="1">'Top Quarters'!$A$3:$M$7</definedName>
    <definedName name="_xlnm._FilterDatabase" localSheetId="13" hidden="1">'Top Sizes (T S)'!$A$3:$M$8</definedName>
    <definedName name="_xlnm._FilterDatabase" localSheetId="18" hidden="1">'Top Years'!$A$3:$M$4</definedName>
  </definedNames>
  <calcPr calcId="124519" fullCalcOnLoad="1"/>
</workbook>
</file>

<file path=xl/sharedStrings.xml><?xml version="1.0" encoding="utf-8"?>
<sst xmlns="http://schemas.openxmlformats.org/spreadsheetml/2006/main" count="423" uniqueCount="146">
  <si>
    <t>pizza_id</t>
  </si>
  <si>
    <t>count</t>
  </si>
  <si>
    <t>count_rank</t>
  </si>
  <si>
    <t>pct_count</t>
  </si>
  <si>
    <t>count_diff</t>
  </si>
  <si>
    <t>count_pct_diff</t>
  </si>
  <si>
    <t>avg_total_sales</t>
  </si>
  <si>
    <t>total_sales</t>
  </si>
  <si>
    <t>sales_rank</t>
  </si>
  <si>
    <t>pct_total_sales</t>
  </si>
  <si>
    <t>total_sales_diff</t>
  </si>
  <si>
    <t>total_sales_pct_diff</t>
  </si>
  <si>
    <t>Total</t>
  </si>
  <si>
    <t>thai_ckn_l</t>
  </si>
  <si>
    <t>five_cheese_l</t>
  </si>
  <si>
    <t>four_cheese_l</t>
  </si>
  <si>
    <t>spicy_ital_l</t>
  </si>
  <si>
    <t>big_meat_s</t>
  </si>
  <si>
    <t>southw_ckn_l</t>
  </si>
  <si>
    <t>bbq_ckn_l</t>
  </si>
  <si>
    <t>cali_ckn_l</t>
  </si>
  <si>
    <t>classic_dlx_m</t>
  </si>
  <si>
    <t>mexicana_l</t>
  </si>
  <si>
    <t>Top 10 Pizza IDs By Total Sales, Count And Percentage Share</t>
  </si>
  <si>
    <t>hawaiian_s</t>
  </si>
  <si>
    <t>bbq_ckn_m</t>
  </si>
  <si>
    <t>Top 10 Pizza IDs By Counts, Total Sales And Percentage Share</t>
  </si>
  <si>
    <t>the_greek_s</t>
  </si>
  <si>
    <t>ital_cpcllo_s</t>
  </si>
  <si>
    <t>soppressata_s</t>
  </si>
  <si>
    <t>mediterraneo_s</t>
  </si>
  <si>
    <t>ital_supr_s</t>
  </si>
  <si>
    <t>mexicana_s</t>
  </si>
  <si>
    <t>green_garden_l</t>
  </si>
  <si>
    <t>ckn_alfredo_s</t>
  </si>
  <si>
    <t>calabrese_s</t>
  </si>
  <si>
    <t>the_greek_xxl</t>
  </si>
  <si>
    <t>Bottom 10 Pizza IDs By Total Sales, Count And Percentage Share</t>
  </si>
  <si>
    <t>spinach_supr_m</t>
  </si>
  <si>
    <t>the_greek_l</t>
  </si>
  <si>
    <t>ital_veggie_l</t>
  </si>
  <si>
    <t>ckn_alfredo_l</t>
  </si>
  <si>
    <t>Bottom 10 Pizza IDs By Counts, Total Sales And Percentage Share</t>
  </si>
  <si>
    <t>pizza_type_id</t>
  </si>
  <si>
    <t>thai_ckn</t>
  </si>
  <si>
    <t>bbq_ckn</t>
  </si>
  <si>
    <t>cali_ckn</t>
  </si>
  <si>
    <t>classic_dlx</t>
  </si>
  <si>
    <t>spicy_ital</t>
  </si>
  <si>
    <t>southw_ckn</t>
  </si>
  <si>
    <t>ital_supr</t>
  </si>
  <si>
    <t>hawaiian</t>
  </si>
  <si>
    <t>four_cheese</t>
  </si>
  <si>
    <t>sicilian</t>
  </si>
  <si>
    <t>Top 10 Pizza Type IDs By Total Sales, Count And Percentage Share</t>
  </si>
  <si>
    <t>pepperoni</t>
  </si>
  <si>
    <t>Top 10 Pizza Type IDs By Counts, Total Sales And Percentage Share</t>
  </si>
  <si>
    <t>ckn_alfredo</t>
  </si>
  <si>
    <t>ckn_pesto</t>
  </si>
  <si>
    <t>soppressata</t>
  </si>
  <si>
    <t>ital_veggie</t>
  </si>
  <si>
    <t>calabrese</t>
  </si>
  <si>
    <t>spin_pesto</t>
  </si>
  <si>
    <t>mediterraneo</t>
  </si>
  <si>
    <t>spinach_supr</t>
  </si>
  <si>
    <t>green_garden</t>
  </si>
  <si>
    <t>brie_carre</t>
  </si>
  <si>
    <t>Bottom 10 Pizza Type IDs By Total Sales, Count And Percentage Share</t>
  </si>
  <si>
    <t>Bottom 10 Pizza Type IDs By Counts, Total Sales And Percentage Share</t>
  </si>
  <si>
    <t>name</t>
  </si>
  <si>
    <t>The Thai Chicken Pizza</t>
  </si>
  <si>
    <t>The Barbecue Chicken Pizza</t>
  </si>
  <si>
    <t>The California Chicken Pizza</t>
  </si>
  <si>
    <t>The Classic Deluxe Pizza</t>
  </si>
  <si>
    <t>The Spicy Italian Pizza</t>
  </si>
  <si>
    <t>The Southwest Chicken Pizza</t>
  </si>
  <si>
    <t>The Italian Supreme Pizza</t>
  </si>
  <si>
    <t>The Hawaiian Pizza</t>
  </si>
  <si>
    <t>The Four Cheese Pizza</t>
  </si>
  <si>
    <t>The Sicilian Pizza</t>
  </si>
  <si>
    <t>Top 10 Names By Total Sales, Count And Percentage Share</t>
  </si>
  <si>
    <t>The Pepperoni Pizza</t>
  </si>
  <si>
    <t>Top 10 Names By Counts, Total Sales And Percentage Share</t>
  </si>
  <si>
    <t>The Chicken Alfredo Pizza</t>
  </si>
  <si>
    <t>The Chicken Pesto Pizza</t>
  </si>
  <si>
    <t>The Soppressata Pizza</t>
  </si>
  <si>
    <t>The Italian Vegetables Pizza</t>
  </si>
  <si>
    <t>The Calabrese Pizza</t>
  </si>
  <si>
    <t>The Spinach Pesto Pizza</t>
  </si>
  <si>
    <t>The Mediterranean Pizza</t>
  </si>
  <si>
    <t>The Spinach Supreme Pizza</t>
  </si>
  <si>
    <t>The Green Garden Pizza</t>
  </si>
  <si>
    <t>The Brie Carre Pizza</t>
  </si>
  <si>
    <t>Bottom 10 Names By Total Sales, Count And Percentage Share</t>
  </si>
  <si>
    <t>Bottom 10 Names By Counts, Total Sales And Percentage Share</t>
  </si>
  <si>
    <t>category</t>
  </si>
  <si>
    <t>Classic</t>
  </si>
  <si>
    <t>Supreme</t>
  </si>
  <si>
    <t>Chicken</t>
  </si>
  <si>
    <t>Veggie</t>
  </si>
  <si>
    <t>The Total Sales, Count And Percentage Share By Categories</t>
  </si>
  <si>
    <t>size</t>
  </si>
  <si>
    <t>L</t>
  </si>
  <si>
    <t>M</t>
  </si>
  <si>
    <t>S</t>
  </si>
  <si>
    <t>XL</t>
  </si>
  <si>
    <t>XXL</t>
  </si>
  <si>
    <t>The Total Sales, Count And Percentage Share By Size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</si>
  <si>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</si>
  <si>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</si>
  <si>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</si>
  <si>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</si>
  <si>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</si>
  <si>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</si>
  <si>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</si>
  <si>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</si>
  <si>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Top Days By Total Sales, Count And Percentage Share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</si>
  <si>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</si>
  <si>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</si>
  <si>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</si>
  <si>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</si>
  <si>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</si>
  <si>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</si>
  <si>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</si>
  <si>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</si>
  <si>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</si>
  <si>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</si>
  <si>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</si>
  <si>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</si>
  <si>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</si>
  <si>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Top Months By Total Sales, Count And Percentage Share</t>
  </si>
  <si>
    <t>quarter</t>
  </si>
  <si>
    <t>2015Q1</t>
  </si>
  <si>
    <t>2015Q2</t>
  </si>
  <si>
    <t>2015Q3</t>
  </si>
  <si>
    <t>2015Q4</t>
  </si>
  <si>
    <t>Top Quarters By Total Sales, Count And Percentage Share</t>
  </si>
  <si>
    <t>quarter_label</t>
  </si>
  <si>
    <t>Q1</t>
  </si>
  <si>
    <t>Q2</t>
  </si>
  <si>
    <t>Q3</t>
  </si>
  <si>
    <t>Q4</t>
  </si>
  <si>
    <t>Top Quarter Labels By Total Sales, Count And Percentage Share</t>
  </si>
  <si>
    <t>year</t>
  </si>
  <si>
    <t>2015</t>
  </si>
  <si>
    <t>Top Years By Total Sales, Count And Percentage Share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</si>
</sst>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0"/>
    <numFmt numFmtId="167" formatCode="£#,##0"/>
  </numFmts>
  <fonts count="16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25"/>
      <color rgb="FFFFFFFF"/>
      <name val="consolas"/>
      <family val="2"/>
    </font>
    <font>
      <b/>
      <sz val="11.5"/>
      <color rgb="FF00FFFF"/>
      <name val="Consolas"/>
      <family val="2"/>
    </font>
    <font>
      <b/>
      <sz val="11.25"/>
      <color rgb="FFF1F1F1"/>
      <name val="consolas"/>
      <family val="2"/>
    </font>
    <font>
      <b/>
      <sz val="11.5"/>
      <color rgb="FFFFFFFF"/>
      <name val="Consolas"/>
      <family val="2"/>
    </font>
    <font>
      <b/>
      <sz val="11.5"/>
      <color rgb="FFFF0000"/>
      <name val="Consolas"/>
      <family val="2"/>
    </font>
    <font>
      <b/>
      <sz val="11.5"/>
      <color rgb="FF0000FF"/>
      <name val="Consolas"/>
      <family val="2"/>
    </font>
    <font>
      <b/>
      <sz val="11.5"/>
      <color rgb="FF00FF00"/>
      <name val="Consolas"/>
      <family val="2"/>
    </font>
    <font>
      <b/>
      <sz val="11.25"/>
      <color rgb="FF000000"/>
      <name val="consolas"/>
      <family val="2"/>
    </font>
    <font>
      <b/>
      <sz val="14"/>
      <color rgb="FFFF6600"/>
      <name val="Consolas"/>
      <family val="2"/>
    </font>
    <font>
      <b/>
      <sz val="14"/>
      <color rgb="FFFFFFFF"/>
      <name val="Consolas"/>
      <family val="2"/>
    </font>
    <font>
      <b/>
      <sz val="14"/>
      <color rgb="FFFF0000"/>
      <name val="Consolas"/>
      <family val="2"/>
    </font>
    <font>
      <b/>
      <sz val="14"/>
      <color rgb="FF0000FF"/>
      <name val="Consolas"/>
      <family val="2"/>
    </font>
    <font>
      <b/>
      <sz val="14"/>
      <color rgb="FFFFFF00"/>
      <name val="Consolas"/>
      <family val="2"/>
    </font>
  </fonts>
  <fills count="75">
    <fill>
      <patternFill patternType="none"/>
    </fill>
    <fill>
      <patternFill patternType="gray125"/>
    </fill>
    <fill>
      <patternFill patternType="solid">
        <fgColor rgb="FFF4A460"/>
        <bgColor indexed="64"/>
      </patternFill>
    </fill>
    <fill>
      <patternFill patternType="solid">
        <fgColor rgb="FFA34444"/>
        <bgColor indexed="64"/>
      </patternFill>
    </fill>
    <fill>
      <patternFill patternType="solid">
        <fgColor rgb="FF6D454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4FDF4"/>
        <bgColor indexed="64"/>
      </patternFill>
    </fill>
    <fill>
      <patternFill patternType="solid">
        <fgColor rgb="FF004529"/>
        <bgColor indexed="64"/>
      </patternFill>
    </fill>
    <fill>
      <patternFill patternType="solid">
        <fgColor rgb="FF71FCE5"/>
        <bgColor indexed="64"/>
      </patternFill>
    </fill>
    <fill>
      <patternFill patternType="solid">
        <fgColor rgb="FF976262"/>
        <bgColor indexed="64"/>
      </patternFill>
    </fill>
    <fill>
      <patternFill patternType="solid">
        <fgColor rgb="FF006435"/>
        <bgColor indexed="64"/>
      </patternFill>
    </fill>
    <fill>
      <patternFill patternType="solid">
        <fgColor rgb="FFB97878"/>
        <bgColor indexed="64"/>
      </patternFill>
    </fill>
    <fill>
      <patternFill patternType="solid">
        <fgColor rgb="FF1A7D40"/>
        <bgColor indexed="64"/>
      </patternFill>
    </fill>
    <fill>
      <patternFill patternType="solid">
        <fgColor rgb="FFD6BB9B"/>
        <bgColor indexed="64"/>
      </patternFill>
    </fill>
    <fill>
      <patternFill patternType="solid">
        <fgColor rgb="FF379E54"/>
        <bgColor indexed="64"/>
      </patternFill>
    </fill>
    <fill>
      <patternFill patternType="solid">
        <fgColor rgb="FF1E0000"/>
        <bgColor indexed="64"/>
      </patternFill>
    </fill>
    <fill>
      <patternFill patternType="solid">
        <fgColor rgb="FF5FBA6C"/>
        <bgColor indexed="64"/>
      </patternFill>
    </fill>
    <fill>
      <patternFill patternType="solid">
        <fgColor rgb="FFE1D7AA"/>
        <bgColor indexed="64"/>
      </patternFill>
    </fill>
    <fill>
      <patternFill patternType="solid">
        <fgColor rgb="FF90D083"/>
        <bgColor indexed="64"/>
      </patternFill>
    </fill>
    <fill>
      <patternFill patternType="solid">
        <fgColor rgb="FFECECC0"/>
        <bgColor indexed="64"/>
      </patternFill>
    </fill>
    <fill>
      <patternFill patternType="solid">
        <fgColor rgb="FFBCE395"/>
        <bgColor indexed="64"/>
      </patternFill>
    </fill>
    <fill>
      <patternFill patternType="solid">
        <fgColor rgb="FFF5F5E2"/>
        <bgColor indexed="64"/>
      </patternFill>
    </fill>
    <fill>
      <patternFill patternType="solid">
        <fgColor rgb="FFE0F3A8"/>
        <bgColor indexed="64"/>
      </patternFill>
    </fill>
    <fill>
      <patternFill patternType="solid">
        <fgColor rgb="FFCA9A8B"/>
        <bgColor indexed="64"/>
      </patternFill>
    </fill>
    <fill>
      <patternFill patternType="solid">
        <fgColor rgb="FFF8FC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C6565"/>
        <bgColor indexed="64"/>
      </patternFill>
    </fill>
    <fill>
      <patternFill patternType="solid">
        <fgColor rgb="FFC78F86"/>
        <bgColor indexed="64"/>
      </patternFill>
    </fill>
    <fill>
      <patternFill patternType="solid">
        <fgColor rgb="FFD3B497"/>
        <bgColor indexed="64"/>
      </patternFill>
    </fill>
    <fill>
      <patternFill patternType="solid">
        <fgColor rgb="FFF5F5DF"/>
        <bgColor indexed="64"/>
      </patternFill>
    </fill>
    <fill>
      <patternFill patternType="solid">
        <fgColor rgb="FFEAEABA"/>
        <bgColor indexed="64"/>
      </patternFill>
    </fill>
    <fill>
      <patternFill patternType="solid">
        <fgColor rgb="FFDFD2A7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DCC9A3"/>
        <bgColor indexed="64"/>
      </patternFill>
    </fill>
    <fill>
      <patternFill patternType="solid">
        <fgColor rgb="FFE6E3B1"/>
        <bgColor indexed="64"/>
      </patternFill>
    </fill>
    <fill>
      <patternFill patternType="solid">
        <fgColor rgb="FFD0AC94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A16868"/>
        <bgColor indexed="64"/>
      </patternFill>
    </fill>
    <fill>
      <patternFill patternType="solid">
        <fgColor rgb="FF238443"/>
        <bgColor indexed="64"/>
      </patternFill>
    </fill>
    <fill>
      <patternFill patternType="solid">
        <fgColor rgb="FF79C679"/>
        <bgColor indexed="64"/>
      </patternFill>
    </fill>
    <fill>
      <patternFill patternType="solid">
        <fgColor rgb="FFE9E9B6"/>
        <bgColor indexed="64"/>
      </patternFill>
    </fill>
    <fill>
      <patternFill patternType="solid">
        <fgColor rgb="FFDAF0A4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F1F1D1"/>
        <bgColor indexed="64"/>
      </patternFill>
    </fill>
    <fill>
      <patternFill patternType="solid">
        <fgColor rgb="FFEDF8B2"/>
        <bgColor indexed="64"/>
      </patternFill>
    </fill>
    <fill>
      <patternFill patternType="solid">
        <fgColor rgb="FF0B713B"/>
        <bgColor indexed="64"/>
      </patternFill>
    </fill>
    <fill>
      <patternFill patternType="solid">
        <fgColor rgb="FF845454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C27E7E"/>
        <bgColor indexed="64"/>
      </patternFill>
    </fill>
    <fill>
      <patternFill patternType="solid">
        <fgColor rgb="FF3FA85B"/>
        <bgColor indexed="64"/>
      </patternFill>
    </fill>
    <fill>
      <patternFill patternType="solid">
        <fgColor rgb="FFE7E5B2"/>
        <bgColor indexed="64"/>
      </patternFill>
    </fill>
    <fill>
      <patternFill patternType="solid">
        <fgColor rgb="FFD2EDA0"/>
        <bgColor indexed="64"/>
      </patternFill>
    </fill>
    <fill>
      <patternFill patternType="solid">
        <fgColor rgb="FF8A5858"/>
        <bgColor indexed="64"/>
      </patternFill>
    </fill>
    <fill>
      <patternFill patternType="solid">
        <fgColor rgb="FF10743C"/>
        <bgColor indexed="64"/>
      </patternFill>
    </fill>
    <fill>
      <patternFill patternType="solid">
        <fgColor rgb="FFD5B89A"/>
        <bgColor indexed="64"/>
      </patternFill>
    </fill>
    <fill>
      <patternFill patternType="solid">
        <fgColor rgb="FF64BC6F"/>
        <bgColor indexed="64"/>
      </patternFill>
    </fill>
    <fill>
      <patternFill patternType="solid">
        <fgColor rgb="FF643E3E"/>
        <bgColor indexed="64"/>
      </patternFill>
    </fill>
    <fill>
      <patternFill patternType="solid">
        <fgColor rgb="FF005E33"/>
        <bgColor indexed="64"/>
      </patternFill>
    </fill>
    <fill>
      <patternFill patternType="solid">
        <fgColor rgb="FFDECFA6"/>
        <bgColor indexed="64"/>
      </patternFill>
    </fill>
    <fill>
      <patternFill patternType="solid">
        <fgColor rgb="FFB1DF90"/>
        <bgColor indexed="64"/>
      </patternFill>
    </fill>
    <fill>
      <patternFill patternType="solid">
        <fgColor rgb="FFCB9E8C"/>
        <bgColor indexed="64"/>
      </patternFill>
    </fill>
    <fill>
      <patternFill patternType="solid">
        <fgColor rgb="FF8BCE81"/>
        <bgColor indexed="64"/>
      </patternFill>
    </fill>
    <fill>
      <patternFill patternType="solid">
        <fgColor rgb="FFF7F7E7"/>
        <bgColor indexed="64"/>
      </patternFill>
    </fill>
    <fill>
      <patternFill patternType="solid">
        <fgColor rgb="FFF9FDC5"/>
        <bgColor indexed="64"/>
      </patternFill>
    </fill>
    <fill>
      <patternFill patternType="solid">
        <fgColor rgb="FFA76C6C"/>
        <bgColor indexed="64"/>
      </patternFill>
    </fill>
    <fill>
      <patternFill patternType="solid">
        <fgColor rgb="FF288A47"/>
        <bgColor indexed="64"/>
      </patternFill>
    </fill>
    <fill>
      <patternFill patternType="solid">
        <fgColor rgb="FFEFEFCC"/>
        <bgColor indexed="64"/>
      </patternFill>
    </fill>
    <fill>
      <patternFill patternType="solid">
        <fgColor rgb="FFEAF7AF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justify"/>
    </xf>
    <xf numFmtId="164" fontId="4" fillId="3" borderId="0" xfId="0" applyNumberFormat="1" applyFont="1" applyFill="1" applyAlignment="1">
      <alignment horizontal="justify"/>
    </xf>
    <xf numFmtId="0" fontId="5" fillId="4" borderId="2" xfId="0" applyFont="1" applyFill="1" applyBorder="1" applyAlignment="1">
      <alignment horizontal="justify"/>
    </xf>
    <xf numFmtId="165" fontId="6" fillId="3" borderId="0" xfId="0" applyNumberFormat="1" applyFont="1" applyFill="1" applyAlignment="1">
      <alignment horizontal="justify"/>
    </xf>
    <xf numFmtId="166" fontId="7" fillId="5" borderId="0" xfId="0" applyNumberFormat="1" applyFont="1" applyFill="1" applyAlignment="1">
      <alignment horizontal="justify"/>
    </xf>
    <xf numFmtId="167" fontId="8" fillId="6" borderId="0" xfId="0" applyNumberFormat="1" applyFont="1" applyFill="1" applyAlignment="1">
      <alignment horizontal="justify"/>
    </xf>
    <xf numFmtId="167" fontId="9" fillId="6" borderId="0" xfId="0" applyNumberFormat="1" applyFont="1" applyFill="1" applyAlignment="1">
      <alignment horizontal="justify"/>
    </xf>
    <xf numFmtId="0" fontId="5" fillId="7" borderId="2" xfId="0" applyFont="1" applyFill="1" applyBorder="1" applyAlignment="1">
      <alignment horizontal="justify"/>
    </xf>
    <xf numFmtId="165" fontId="6" fillId="8" borderId="0" xfId="0" applyNumberFormat="1" applyFont="1" applyFill="1" applyAlignment="1">
      <alignment horizontal="justify"/>
    </xf>
    <xf numFmtId="167" fontId="7" fillId="5" borderId="0" xfId="0" applyNumberFormat="1" applyFont="1" applyFill="1" applyAlignment="1">
      <alignment horizontal="justify"/>
    </xf>
    <xf numFmtId="0" fontId="5" fillId="9" borderId="2" xfId="0" applyFont="1" applyFill="1" applyBorder="1" applyAlignment="1">
      <alignment horizontal="justify"/>
    </xf>
    <xf numFmtId="0" fontId="5" fillId="10" borderId="2" xfId="0" applyFont="1" applyFill="1" applyBorder="1" applyAlignment="1">
      <alignment horizontal="justify"/>
    </xf>
    <xf numFmtId="0" fontId="5" fillId="11" borderId="2" xfId="0" applyFont="1" applyFill="1" applyBorder="1" applyAlignment="1">
      <alignment horizontal="justify"/>
    </xf>
    <xf numFmtId="0" fontId="5" fillId="12" borderId="2" xfId="0" applyFont="1" applyFill="1" applyBorder="1" applyAlignment="1">
      <alignment horizontal="justify"/>
    </xf>
    <xf numFmtId="0" fontId="10" fillId="13" borderId="2" xfId="0" applyFont="1" applyFill="1" applyBorder="1" applyAlignment="1">
      <alignment horizontal="justify"/>
    </xf>
    <xf numFmtId="0" fontId="5" fillId="14" borderId="2" xfId="0" applyFont="1" applyFill="1" applyBorder="1" applyAlignment="1">
      <alignment horizontal="justify"/>
    </xf>
    <xf numFmtId="0" fontId="5" fillId="15" borderId="2" xfId="0" applyFont="1" applyFill="1" applyBorder="1" applyAlignment="1">
      <alignment horizontal="justify"/>
    </xf>
    <xf numFmtId="0" fontId="5" fillId="16" borderId="2" xfId="0" applyFont="1" applyFill="1" applyBorder="1" applyAlignment="1">
      <alignment horizontal="justify"/>
    </xf>
    <xf numFmtId="0" fontId="10" fillId="17" borderId="2" xfId="0" applyFont="1" applyFill="1" applyBorder="1" applyAlignment="1">
      <alignment horizontal="justify"/>
    </xf>
    <xf numFmtId="0" fontId="10" fillId="18" borderId="2" xfId="0" applyFont="1" applyFill="1" applyBorder="1" applyAlignment="1">
      <alignment horizontal="justify"/>
    </xf>
    <xf numFmtId="0" fontId="10" fillId="19" borderId="2" xfId="0" applyFont="1" applyFill="1" applyBorder="1" applyAlignment="1">
      <alignment horizontal="justify"/>
    </xf>
    <xf numFmtId="0" fontId="10" fillId="20" borderId="2" xfId="0" applyFont="1" applyFill="1" applyBorder="1" applyAlignment="1">
      <alignment horizontal="justify"/>
    </xf>
    <xf numFmtId="0" fontId="10" fillId="21" borderId="2" xfId="0" applyFont="1" applyFill="1" applyBorder="1" applyAlignment="1">
      <alignment horizontal="justify"/>
    </xf>
    <xf numFmtId="0" fontId="10" fillId="22" borderId="2" xfId="0" applyFont="1" applyFill="1" applyBorder="1" applyAlignment="1">
      <alignment horizontal="justify"/>
    </xf>
    <xf numFmtId="0" fontId="5" fillId="23" borderId="2" xfId="0" applyFont="1" applyFill="1" applyBorder="1" applyAlignment="1">
      <alignment horizontal="justify"/>
    </xf>
    <xf numFmtId="0" fontId="10" fillId="24" borderId="2" xfId="0" applyFont="1" applyFill="1" applyBorder="1" applyAlignment="1">
      <alignment horizontal="justify"/>
    </xf>
    <xf numFmtId="0" fontId="10" fillId="25" borderId="2" xfId="0" applyFont="1" applyFill="1" applyBorder="1" applyAlignment="1">
      <alignment horizontal="justify"/>
    </xf>
    <xf numFmtId="0" fontId="10" fillId="26" borderId="2" xfId="0" applyFont="1" applyFill="1" applyBorder="1" applyAlignment="1">
      <alignment horizontal="justify"/>
    </xf>
    <xf numFmtId="0" fontId="3" fillId="27" borderId="2" xfId="0" applyFont="1" applyFill="1" applyBorder="1" applyAlignment="1">
      <alignment horizontal="justify"/>
    </xf>
    <xf numFmtId="164" fontId="11" fillId="28" borderId="0" xfId="0" applyNumberFormat="1" applyFont="1" applyFill="1" applyAlignment="1">
      <alignment horizontal="justify"/>
    </xf>
    <xf numFmtId="165" fontId="12" fillId="28" borderId="0" xfId="0" applyNumberFormat="1" applyFont="1" applyFill="1" applyAlignment="1">
      <alignment horizontal="justify"/>
    </xf>
    <xf numFmtId="166" fontId="13" fillId="28" borderId="0" xfId="0" applyNumberFormat="1" applyFont="1" applyFill="1" applyAlignment="1">
      <alignment horizontal="justify"/>
    </xf>
    <xf numFmtId="167" fontId="14" fillId="28" borderId="0" xfId="0" applyNumberFormat="1" applyFont="1" applyFill="1" applyAlignment="1">
      <alignment horizontal="justify"/>
    </xf>
    <xf numFmtId="167" fontId="15" fillId="28" borderId="0" xfId="0" applyNumberFormat="1" applyFont="1" applyFill="1" applyAlignment="1">
      <alignment horizontal="justify"/>
    </xf>
    <xf numFmtId="167" fontId="13" fillId="28" borderId="0" xfId="0" applyNumberFormat="1" applyFont="1" applyFill="1" applyAlignment="1">
      <alignment horizontal="justify"/>
    </xf>
    <xf numFmtId="0" fontId="5" fillId="29" borderId="2" xfId="0" applyFont="1" applyFill="1" applyBorder="1" applyAlignment="1">
      <alignment horizontal="justify"/>
    </xf>
    <xf numFmtId="0" fontId="5" fillId="30" borderId="2" xfId="0" applyFont="1" applyFill="1" applyBorder="1" applyAlignment="1">
      <alignment horizontal="justify"/>
    </xf>
    <xf numFmtId="0" fontId="10" fillId="31" borderId="2" xfId="0" applyFont="1" applyFill="1" applyBorder="1" applyAlignment="1">
      <alignment horizontal="justify"/>
    </xf>
    <xf numFmtId="0" fontId="10" fillId="32" borderId="2" xfId="0" applyFont="1" applyFill="1" applyBorder="1" applyAlignment="1">
      <alignment horizontal="justify"/>
    </xf>
    <xf numFmtId="0" fontId="10" fillId="33" borderId="2" xfId="0" applyFont="1" applyFill="1" applyBorder="1" applyAlignment="1">
      <alignment horizontal="justify"/>
    </xf>
    <xf numFmtId="0" fontId="10" fillId="34" borderId="2" xfId="0" applyFont="1" applyFill="1" applyBorder="1" applyAlignment="1">
      <alignment horizontal="justify"/>
    </xf>
    <xf numFmtId="0" fontId="3" fillId="35" borderId="2" xfId="0" applyFont="1" applyFill="1" applyBorder="1" applyAlignment="1">
      <alignment horizontal="justify"/>
    </xf>
    <xf numFmtId="0" fontId="10" fillId="36" borderId="2" xfId="0" applyFont="1" applyFill="1" applyBorder="1" applyAlignment="1">
      <alignment horizontal="justify"/>
    </xf>
    <xf numFmtId="0" fontId="10" fillId="37" borderId="2" xfId="0" applyFont="1" applyFill="1" applyBorder="1" applyAlignment="1">
      <alignment horizontal="justify"/>
    </xf>
    <xf numFmtId="0" fontId="10" fillId="38" borderId="2" xfId="0" applyFont="1" applyFill="1" applyBorder="1" applyAlignment="1">
      <alignment horizontal="justify"/>
    </xf>
    <xf numFmtId="0" fontId="3" fillId="39" borderId="2" xfId="0" applyFont="1" applyFill="1" applyBorder="1" applyAlignment="1">
      <alignment horizontal="justify"/>
    </xf>
    <xf numFmtId="0" fontId="3" fillId="40" borderId="2" xfId="0" applyFont="1" applyFill="1" applyBorder="1" applyAlignment="1">
      <alignment horizontal="justify"/>
    </xf>
    <xf numFmtId="0" fontId="3" fillId="41" borderId="2" xfId="0" applyFont="1" applyFill="1" applyBorder="1" applyAlignment="1">
      <alignment horizontal="justify"/>
    </xf>
    <xf numFmtId="0" fontId="5" fillId="42" borderId="2" xfId="0" applyFont="1" applyFill="1" applyBorder="1" applyAlignment="1">
      <alignment horizontal="justify"/>
    </xf>
    <xf numFmtId="0" fontId="5" fillId="43" borderId="2" xfId="0" applyFont="1" applyFill="1" applyBorder="1" applyAlignment="1">
      <alignment horizontal="justify"/>
    </xf>
    <xf numFmtId="0" fontId="10" fillId="44" borderId="2" xfId="0" applyFont="1" applyFill="1" applyBorder="1" applyAlignment="1">
      <alignment horizontal="justify"/>
    </xf>
    <xf numFmtId="0" fontId="10" fillId="45" borderId="2" xfId="0" applyFont="1" applyFill="1" applyBorder="1" applyAlignment="1">
      <alignment horizontal="justify"/>
    </xf>
    <xf numFmtId="0" fontId="10" fillId="46" borderId="2" xfId="0" applyFont="1" applyFill="1" applyBorder="1" applyAlignment="1">
      <alignment horizontal="justify"/>
    </xf>
    <xf numFmtId="0" fontId="3" fillId="47" borderId="2" xfId="0" applyFont="1" applyFill="1" applyBorder="1" applyAlignment="1">
      <alignment horizontal="justify"/>
    </xf>
    <xf numFmtId="0" fontId="10" fillId="48" borderId="2" xfId="0" applyFont="1" applyFill="1" applyBorder="1" applyAlignment="1">
      <alignment horizontal="justify"/>
    </xf>
    <xf numFmtId="0" fontId="10" fillId="49" borderId="2" xfId="0" applyFont="1" applyFill="1" applyBorder="1" applyAlignment="1">
      <alignment horizontal="justify"/>
    </xf>
    <xf numFmtId="0" fontId="5" fillId="50" borderId="2" xfId="0" applyFont="1" applyFill="1" applyBorder="1" applyAlignment="1">
      <alignment horizontal="justify"/>
    </xf>
    <xf numFmtId="0" fontId="5" fillId="51" borderId="2" xfId="0" applyFont="1" applyFill="1" applyBorder="1" applyAlignment="1">
      <alignment horizontal="justify"/>
    </xf>
    <xf numFmtId="0" fontId="3" fillId="52" borderId="2" xfId="0" applyFont="1" applyFill="1" applyBorder="1" applyAlignment="1">
      <alignment horizontal="justify"/>
    </xf>
    <xf numFmtId="0" fontId="5" fillId="53" borderId="2" xfId="0" applyFont="1" applyFill="1" applyBorder="1" applyAlignment="1">
      <alignment horizontal="justify"/>
    </xf>
    <xf numFmtId="0" fontId="5" fillId="54" borderId="2" xfId="0" applyFont="1" applyFill="1" applyBorder="1" applyAlignment="1">
      <alignment horizontal="justify"/>
    </xf>
    <xf numFmtId="0" fontId="10" fillId="55" borderId="2" xfId="0" applyFont="1" applyFill="1" applyBorder="1" applyAlignment="1">
      <alignment horizontal="justify"/>
    </xf>
    <xf numFmtId="0" fontId="10" fillId="56" borderId="2" xfId="0" applyFont="1" applyFill="1" applyBorder="1" applyAlignment="1">
      <alignment horizontal="justify"/>
    </xf>
    <xf numFmtId="0" fontId="5" fillId="57" borderId="2" xfId="0" applyFont="1" applyFill="1" applyBorder="1" applyAlignment="1">
      <alignment horizontal="justify"/>
    </xf>
    <xf numFmtId="0" fontId="5" fillId="58" borderId="2" xfId="0" applyFont="1" applyFill="1" applyBorder="1" applyAlignment="1">
      <alignment horizontal="justify"/>
    </xf>
    <xf numFmtId="0" fontId="10" fillId="59" borderId="2" xfId="0" applyFont="1" applyFill="1" applyBorder="1" applyAlignment="1">
      <alignment horizontal="justify"/>
    </xf>
    <xf numFmtId="0" fontId="5" fillId="60" borderId="2" xfId="0" applyFont="1" applyFill="1" applyBorder="1" applyAlignment="1">
      <alignment horizontal="justify"/>
    </xf>
    <xf numFmtId="0" fontId="5" fillId="61" borderId="2" xfId="0" applyFont="1" applyFill="1" applyBorder="1" applyAlignment="1">
      <alignment horizontal="justify"/>
    </xf>
    <xf numFmtId="0" fontId="5" fillId="62" borderId="2" xfId="0" applyFont="1" applyFill="1" applyBorder="1" applyAlignment="1">
      <alignment horizontal="justify"/>
    </xf>
    <xf numFmtId="0" fontId="10" fillId="63" borderId="2" xfId="0" applyFont="1" applyFill="1" applyBorder="1" applyAlignment="1">
      <alignment horizontal="justify"/>
    </xf>
    <xf numFmtId="0" fontId="10" fillId="64" borderId="2" xfId="0" applyFont="1" applyFill="1" applyBorder="1" applyAlignment="1">
      <alignment horizontal="justify"/>
    </xf>
    <xf numFmtId="0" fontId="5" fillId="65" borderId="2" xfId="0" applyFont="1" applyFill="1" applyBorder="1" applyAlignment="1">
      <alignment horizontal="justify"/>
    </xf>
    <xf numFmtId="0" fontId="10" fillId="66" borderId="2" xfId="0" applyFont="1" applyFill="1" applyBorder="1" applyAlignment="1">
      <alignment horizontal="justify"/>
    </xf>
    <xf numFmtId="0" fontId="10" fillId="67" borderId="2" xfId="0" applyFont="1" applyFill="1" applyBorder="1" applyAlignment="1">
      <alignment horizontal="justify"/>
    </xf>
    <xf numFmtId="0" fontId="10" fillId="68" borderId="2" xfId="0" applyFont="1" applyFill="1" applyBorder="1" applyAlignment="1">
      <alignment horizontal="justify"/>
    </xf>
    <xf numFmtId="0" fontId="5" fillId="69" borderId="2" xfId="0" applyFont="1" applyFill="1" applyBorder="1" applyAlignment="1">
      <alignment horizontal="justify"/>
    </xf>
    <xf numFmtId="0" fontId="5" fillId="70" borderId="2" xfId="0" applyFont="1" applyFill="1" applyBorder="1" applyAlignment="1">
      <alignment horizontal="justify"/>
    </xf>
    <xf numFmtId="0" fontId="10" fillId="71" borderId="2" xfId="0" applyFont="1" applyFill="1" applyBorder="1" applyAlignment="1">
      <alignment horizontal="justify"/>
    </xf>
    <xf numFmtId="0" fontId="10" fillId="72" borderId="2" xfId="0" applyFont="1" applyFill="1" applyBorder="1" applyAlignment="1">
      <alignment horizontal="justify"/>
    </xf>
    <xf numFmtId="0" fontId="3" fillId="73" borderId="2" xfId="0" applyFont="1" applyFill="1" applyBorder="1" applyAlignment="1">
      <alignment horizontal="justify"/>
    </xf>
    <xf numFmtId="0" fontId="3" fillId="74" borderId="2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13</v>
      </c>
      <c r="C4" s="5">
        <v>1365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21.43406593406593</v>
      </c>
      <c r="I4" s="10">
        <v>29257.5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14</v>
      </c>
      <c r="C5" s="5">
        <v>1359</v>
      </c>
      <c r="D5" s="14">
        <v>3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19.18064753495217</v>
      </c>
      <c r="I5" s="10">
        <v>26066.5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15</v>
      </c>
      <c r="C6" s="5">
        <v>1273</v>
      </c>
      <c r="D6" s="16">
        <v>4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18.55632364493323</v>
      </c>
      <c r="I6" s="10">
        <v>23622.2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16</v>
      </c>
      <c r="C7" s="5">
        <v>1088</v>
      </c>
      <c r="D7" s="18">
        <v>6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21.15050551470588</v>
      </c>
      <c r="I7" s="10">
        <v>23011.75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17</v>
      </c>
      <c r="C8" s="5">
        <v>1811</v>
      </c>
      <c r="D8" s="20">
        <v>1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12.68249585864163</v>
      </c>
      <c r="I8" s="10">
        <v>22968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18</v>
      </c>
      <c r="C9" s="5">
        <v>993</v>
      </c>
      <c r="D9" s="22">
        <v>7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21.2306143001007</v>
      </c>
      <c r="I9" s="10">
        <v>21082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19</v>
      </c>
      <c r="C10" s="5">
        <v>967</v>
      </c>
      <c r="D10" s="24">
        <v>8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21.28645294725957</v>
      </c>
      <c r="I10" s="10">
        <v>20584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20</v>
      </c>
      <c r="C11" s="5">
        <v>895</v>
      </c>
      <c r="D11" s="26">
        <v>9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21.49189944134078</v>
      </c>
      <c r="I11" s="10">
        <v>19235.25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21</v>
      </c>
      <c r="C12" s="5">
        <v>1159</v>
      </c>
      <c r="D12" s="28">
        <v>5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16.30371009490941</v>
      </c>
      <c r="I12" s="10">
        <v>18896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22</v>
      </c>
      <c r="C13" s="5">
        <v>844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20.801836492891</v>
      </c>
      <c r="I13" s="10">
        <v>17556.75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" t="s">
        <v>17</v>
      </c>
      <c r="C4" s="5">
        <v>1811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12.68249585864163</v>
      </c>
      <c r="I4" s="10">
        <v>22968</v>
      </c>
      <c r="J4" s="21">
        <v>5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" t="s">
        <v>13</v>
      </c>
      <c r="C5" s="5">
        <v>1365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21.43406593406593</v>
      </c>
      <c r="I5" s="10">
        <v>29257.5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" t="s">
        <v>14</v>
      </c>
      <c r="C6" s="5">
        <v>1359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19.18064753495217</v>
      </c>
      <c r="I6" s="10">
        <v>26066.5</v>
      </c>
      <c r="J6" s="15">
        <v>2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" t="s">
        <v>15</v>
      </c>
      <c r="C7" s="5">
        <v>1273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18.55632364493323</v>
      </c>
      <c r="I7" s="10">
        <v>23622.2</v>
      </c>
      <c r="J7" s="17">
        <v>3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" t="s">
        <v>21</v>
      </c>
      <c r="C8" s="5">
        <v>1159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16.30371009490941</v>
      </c>
      <c r="I8" s="10">
        <v>18896</v>
      </c>
      <c r="J8" s="27">
        <v>8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" t="s">
        <v>16</v>
      </c>
      <c r="C9" s="5">
        <v>1088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21.15050551470588</v>
      </c>
      <c r="I9" s="10">
        <v>23011.75</v>
      </c>
      <c r="J9" s="19">
        <v>4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" t="s">
        <v>24</v>
      </c>
      <c r="C10" s="5">
        <v>1001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10.6993006993007</v>
      </c>
      <c r="I10" s="10">
        <v>10710</v>
      </c>
      <c r="J10" s="31">
        <v>10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" t="s">
        <v>18</v>
      </c>
      <c r="C11" s="5">
        <v>993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21.2306143001007</v>
      </c>
      <c r="I11" s="10">
        <v>21082</v>
      </c>
      <c r="J11" s="23">
        <v>6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" t="s">
        <v>19</v>
      </c>
      <c r="C12" s="5">
        <v>967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21.28645294725957</v>
      </c>
      <c r="I12" s="10">
        <v>20584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" t="s">
        <v>25</v>
      </c>
      <c r="C13" s="5">
        <v>926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17.292656587473</v>
      </c>
      <c r="I13" s="10">
        <v>16013</v>
      </c>
      <c r="J13" s="29">
        <v>9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7.7109375" customWidth="1"/>
    <col min="3" max="3" width="8.7109375" customWidth="1"/>
    <col min="4" max="4" width="13.7109375" customWidth="1"/>
    <col min="5" max="5" width="23.7109375" customWidth="1"/>
    <col min="6" max="6" width="13.7109375" customWidth="1"/>
    <col min="7" max="7" width="22.7109375" customWidth="1"/>
    <col min="8" max="9" width="21.7109375" customWidth="1"/>
    <col min="10" max="10" width="13.7109375" customWidth="1"/>
    <col min="11" max="11" width="23.7109375" customWidth="1"/>
    <col min="12" max="12" width="22.7109375" customWidth="1"/>
    <col min="13" max="13" width="23.7109375" customWidth="1"/>
  </cols>
  <sheetData>
    <row r="1" spans="1:14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81</v>
      </c>
      <c r="B4" s="4" t="s">
        <v>27</v>
      </c>
      <c r="C4" s="5">
        <v>300</v>
      </c>
      <c r="D4" s="20">
        <v>1.5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12.16</v>
      </c>
      <c r="I4" s="10">
        <v>3648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82</v>
      </c>
      <c r="B5" s="4" t="s">
        <v>28</v>
      </c>
      <c r="C5" s="5">
        <v>300</v>
      </c>
      <c r="D5" s="20">
        <v>1.5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12.08</v>
      </c>
      <c r="I5" s="10">
        <v>3624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83</v>
      </c>
      <c r="B6" s="4" t="s">
        <v>29</v>
      </c>
      <c r="C6" s="5">
        <v>288</v>
      </c>
      <c r="D6" s="39">
        <v>3.5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12.5</v>
      </c>
      <c r="I6" s="10">
        <v>3600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84</v>
      </c>
      <c r="B7" s="4" t="s">
        <v>30</v>
      </c>
      <c r="C7" s="5">
        <v>288</v>
      </c>
      <c r="D7" s="39">
        <v>3.5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12.04166666666667</v>
      </c>
      <c r="I7" s="10">
        <v>3468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85</v>
      </c>
      <c r="B8" s="4" t="s">
        <v>31</v>
      </c>
      <c r="C8" s="5">
        <v>194</v>
      </c>
      <c r="D8" s="40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12.62886597938144</v>
      </c>
      <c r="I8" s="10">
        <v>2450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86</v>
      </c>
      <c r="B9" s="4" t="s">
        <v>32</v>
      </c>
      <c r="C9" s="5">
        <v>160</v>
      </c>
      <c r="D9" s="41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12.15</v>
      </c>
      <c r="I9" s="10">
        <v>1944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87</v>
      </c>
      <c r="B10" s="4" t="s">
        <v>33</v>
      </c>
      <c r="C10" s="5">
        <v>94</v>
      </c>
      <c r="D10" s="42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20.46542553191489</v>
      </c>
      <c r="I10" s="10">
        <v>1923.75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88</v>
      </c>
      <c r="B11" s="4" t="s">
        <v>34</v>
      </c>
      <c r="C11" s="5">
        <v>96</v>
      </c>
      <c r="D11" s="43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12.75</v>
      </c>
      <c r="I11" s="10">
        <v>1224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89</v>
      </c>
      <c r="B12" s="4" t="s">
        <v>35</v>
      </c>
      <c r="C12" s="5">
        <v>99</v>
      </c>
      <c r="D12" s="44">
        <v>7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12.25</v>
      </c>
      <c r="I12" s="10">
        <v>1212.75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90</v>
      </c>
      <c r="B13" s="4" t="s">
        <v>36</v>
      </c>
      <c r="C13" s="5">
        <v>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35.95</v>
      </c>
      <c r="I13" s="10">
        <v>1006.6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7.7109375" customWidth="1"/>
    <col min="3" max="3" width="8.7109375" customWidth="1"/>
    <col min="4" max="4" width="13.7109375" customWidth="1"/>
    <col min="5" max="5" width="23.7109375" customWidth="1"/>
    <col min="6" max="6" width="13.7109375" customWidth="1"/>
    <col min="7" max="7" width="22.7109375" customWidth="1"/>
    <col min="8" max="9" width="21.7109375" customWidth="1"/>
    <col min="10" max="10" width="13.7109375" customWidth="1"/>
    <col min="11" max="11" width="22.7109375" customWidth="1"/>
    <col min="12" max="12" width="21.7109375" customWidth="1"/>
    <col min="13" max="13" width="23.7109375" customWidth="1"/>
  </cols>
  <sheetData>
    <row r="1" spans="1:14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81</v>
      </c>
      <c r="B4" s="4" t="s">
        <v>38</v>
      </c>
      <c r="C4" s="5">
        <v>266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16.56203007518797</v>
      </c>
      <c r="I4" s="10">
        <v>4405.5</v>
      </c>
      <c r="J4" s="15">
        <v>2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82</v>
      </c>
      <c r="B5" s="4" t="s">
        <v>39</v>
      </c>
      <c r="C5" s="5">
        <v>255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20.5</v>
      </c>
      <c r="I5" s="10">
        <v>5227.5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83</v>
      </c>
      <c r="B6" s="4" t="s">
        <v>31</v>
      </c>
      <c r="C6" s="5">
        <v>194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12.62886597938144</v>
      </c>
      <c r="I6" s="10">
        <v>2450</v>
      </c>
      <c r="J6" s="21">
        <v>5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84</v>
      </c>
      <c r="B7" s="4" t="s">
        <v>40</v>
      </c>
      <c r="C7" s="5">
        <v>190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21</v>
      </c>
      <c r="I7" s="10">
        <v>3990</v>
      </c>
      <c r="J7" s="17">
        <v>3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85</v>
      </c>
      <c r="B8" s="4" t="s">
        <v>41</v>
      </c>
      <c r="C8" s="5">
        <v>187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20.86096256684492</v>
      </c>
      <c r="I8" s="10">
        <v>3901</v>
      </c>
      <c r="J8" s="19">
        <v>4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86</v>
      </c>
      <c r="B9" s="4" t="s">
        <v>32</v>
      </c>
      <c r="C9" s="5">
        <v>160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12.15</v>
      </c>
      <c r="I9" s="10">
        <v>1944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87</v>
      </c>
      <c r="B10" s="4" t="s">
        <v>35</v>
      </c>
      <c r="C10" s="5">
        <v>99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12.25</v>
      </c>
      <c r="I10" s="10">
        <v>1212.75</v>
      </c>
      <c r="J10" s="29">
        <v>9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88</v>
      </c>
      <c r="B11" s="4" t="s">
        <v>34</v>
      </c>
      <c r="C11" s="5">
        <v>96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12.75</v>
      </c>
      <c r="I11" s="10">
        <v>1224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89</v>
      </c>
      <c r="B12" s="4" t="s">
        <v>33</v>
      </c>
      <c r="C12" s="5">
        <v>94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20.46542553191489</v>
      </c>
      <c r="I12" s="10">
        <v>1923.75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90</v>
      </c>
      <c r="B13" s="4" t="s">
        <v>36</v>
      </c>
      <c r="C13" s="5">
        <v>28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35.95</v>
      </c>
      <c r="I13" s="10">
        <v>1006.6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4.7109375" customWidth="1"/>
  </cols>
  <sheetData>
    <row r="1" spans="1:14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5" t="s">
        <v>44</v>
      </c>
      <c r="C4" s="5">
        <v>2315</v>
      </c>
      <c r="D4" s="16">
        <v>4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18.76209503239741</v>
      </c>
      <c r="I4" s="10">
        <v>43434.25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5" t="s">
        <v>45</v>
      </c>
      <c r="C5" s="5">
        <v>2372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5" t="s">
        <v>46</v>
      </c>
      <c r="C6" s="5">
        <v>2302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17.98848827106864</v>
      </c>
      <c r="I6" s="10">
        <v>41409.5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5" t="s">
        <v>47</v>
      </c>
      <c r="C7" s="5">
        <v>2416</v>
      </c>
      <c r="D7" s="20">
        <v>1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15.80318708609271</v>
      </c>
      <c r="I7" s="10">
        <v>38180.5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5" t="s">
        <v>48</v>
      </c>
      <c r="C8" s="5">
        <v>1887</v>
      </c>
      <c r="D8" s="46">
        <v>6.5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18.45853206147324</v>
      </c>
      <c r="I8" s="10">
        <v>34831.25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5" t="s">
        <v>49</v>
      </c>
      <c r="C9" s="5">
        <v>1885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18.41153846153846</v>
      </c>
      <c r="I9" s="10">
        <v>34705.75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5" t="s">
        <v>50</v>
      </c>
      <c r="C10" s="5">
        <v>1849</v>
      </c>
      <c r="D10" s="30">
        <v>10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18.105327203894</v>
      </c>
      <c r="I10" s="10">
        <v>33476.75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5" t="s">
        <v>51</v>
      </c>
      <c r="C11" s="5">
        <v>2370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13.61740506329114</v>
      </c>
      <c r="I11" s="10">
        <v>32273.25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5" t="s">
        <v>52</v>
      </c>
      <c r="C12" s="5">
        <v>1850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17.44091891891892</v>
      </c>
      <c r="I12" s="10">
        <v>32265.7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5" t="s">
        <v>53</v>
      </c>
      <c r="C13" s="5">
        <v>1887</v>
      </c>
      <c r="D13" s="46">
        <v>6.5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16.3966613672496</v>
      </c>
      <c r="I13" s="10">
        <v>30940.5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4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5" t="s">
        <v>47</v>
      </c>
      <c r="C4" s="5">
        <v>2416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15.80318708609271</v>
      </c>
      <c r="I4" s="10">
        <v>38180.5</v>
      </c>
      <c r="J4" s="19">
        <v>4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5" t="s">
        <v>45</v>
      </c>
      <c r="C5" s="5">
        <v>2372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5" t="s">
        <v>51</v>
      </c>
      <c r="C6" s="5">
        <v>2370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13.61740506329114</v>
      </c>
      <c r="I6" s="10">
        <v>32273.25</v>
      </c>
      <c r="J6" s="25">
        <v>7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5" t="s">
        <v>55</v>
      </c>
      <c r="C7" s="5">
        <v>2369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12.73184888138455</v>
      </c>
      <c r="I7" s="10">
        <v>30161.75</v>
      </c>
      <c r="J7" s="31">
        <v>10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5" t="s">
        <v>44</v>
      </c>
      <c r="C8" s="5">
        <v>2315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18.76209503239741</v>
      </c>
      <c r="I8" s="10">
        <v>43434.25</v>
      </c>
      <c r="J8" s="11">
        <v>1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5" t="s">
        <v>46</v>
      </c>
      <c r="C9" s="5">
        <v>2302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17.98848827106864</v>
      </c>
      <c r="I9" s="10">
        <v>41409.5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5" t="s">
        <v>48</v>
      </c>
      <c r="C10" s="5">
        <v>1887</v>
      </c>
      <c r="D10" s="47">
        <v>7.5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18.45853206147324</v>
      </c>
      <c r="I10" s="10">
        <v>34831.25</v>
      </c>
      <c r="J10" s="21">
        <v>5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5" t="s">
        <v>53</v>
      </c>
      <c r="C11" s="5">
        <v>1887</v>
      </c>
      <c r="D11" s="47">
        <v>7.5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16.3966613672496</v>
      </c>
      <c r="I11" s="10">
        <v>30940.5</v>
      </c>
      <c r="J11" s="29">
        <v>9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5" t="s">
        <v>49</v>
      </c>
      <c r="C12" s="5">
        <v>1885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18.41153846153846</v>
      </c>
      <c r="I12" s="10">
        <v>34705.75</v>
      </c>
      <c r="J12" s="23">
        <v>6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5" t="s">
        <v>52</v>
      </c>
      <c r="C13" s="5">
        <v>1850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17.44091891891892</v>
      </c>
      <c r="I13" s="10">
        <v>32265.7</v>
      </c>
      <c r="J13" s="27">
        <v>8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22</v>
      </c>
      <c r="B4" s="45" t="s">
        <v>57</v>
      </c>
      <c r="C4" s="5">
        <v>980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17.24515306122449</v>
      </c>
      <c r="I4" s="10">
        <v>16900.25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23</v>
      </c>
      <c r="B5" s="45" t="s">
        <v>58</v>
      </c>
      <c r="C5" s="5">
        <v>961</v>
      </c>
      <c r="D5" s="16">
        <v>4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17.37955254942768</v>
      </c>
      <c r="I5" s="10">
        <v>16701.75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24</v>
      </c>
      <c r="B6" s="45" t="s">
        <v>59</v>
      </c>
      <c r="C6" s="5">
        <v>957</v>
      </c>
      <c r="D6" s="48">
        <v>5.5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17.16379310344828</v>
      </c>
      <c r="I6" s="10">
        <v>16425.75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25</v>
      </c>
      <c r="B7" s="45" t="s">
        <v>60</v>
      </c>
      <c r="C7" s="5">
        <v>975</v>
      </c>
      <c r="D7" s="14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16.43</v>
      </c>
      <c r="I7" s="10">
        <v>16019.25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26</v>
      </c>
      <c r="B8" s="45" t="s">
        <v>61</v>
      </c>
      <c r="C8" s="5">
        <v>927</v>
      </c>
      <c r="D8" s="24">
        <v>8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17.18905070118662</v>
      </c>
      <c r="I8" s="10">
        <v>15934.25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27</v>
      </c>
      <c r="B9" s="45" t="s">
        <v>62</v>
      </c>
      <c r="C9" s="5">
        <v>957</v>
      </c>
      <c r="D9" s="48">
        <v>5.5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28</v>
      </c>
      <c r="B10" s="45" t="s">
        <v>63</v>
      </c>
      <c r="C10" s="5">
        <v>923</v>
      </c>
      <c r="D10" s="26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16.64192849404117</v>
      </c>
      <c r="I10" s="10">
        <v>15360.5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29</v>
      </c>
      <c r="B11" s="45" t="s">
        <v>64</v>
      </c>
      <c r="C11" s="5">
        <v>940</v>
      </c>
      <c r="D11" s="22">
        <v>7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16.25292553191489</v>
      </c>
      <c r="I11" s="10">
        <v>15277.75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30</v>
      </c>
      <c r="B12" s="45" t="s">
        <v>65</v>
      </c>
      <c r="C12" s="5">
        <v>987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14.13956433637285</v>
      </c>
      <c r="I12" s="10">
        <v>13955.75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31</v>
      </c>
      <c r="B13" s="45" t="s">
        <v>66</v>
      </c>
      <c r="C13" s="5">
        <v>480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43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22</v>
      </c>
      <c r="B4" s="45" t="s">
        <v>65</v>
      </c>
      <c r="C4" s="5">
        <v>987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14.13956433637285</v>
      </c>
      <c r="I4" s="10">
        <v>13955.75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23</v>
      </c>
      <c r="B5" s="45" t="s">
        <v>57</v>
      </c>
      <c r="C5" s="5">
        <v>980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17.24515306122449</v>
      </c>
      <c r="I5" s="10">
        <v>16900.25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24</v>
      </c>
      <c r="B6" s="45" t="s">
        <v>60</v>
      </c>
      <c r="C6" s="5">
        <v>975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16.43</v>
      </c>
      <c r="I6" s="10">
        <v>16019.25</v>
      </c>
      <c r="J6" s="19">
        <v>4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25</v>
      </c>
      <c r="B7" s="45" t="s">
        <v>58</v>
      </c>
      <c r="C7" s="5">
        <v>961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17.37955254942768</v>
      </c>
      <c r="I7" s="10">
        <v>16701.75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26</v>
      </c>
      <c r="B8" s="45" t="s">
        <v>59</v>
      </c>
      <c r="C8" s="5">
        <v>957</v>
      </c>
      <c r="D8" s="48">
        <v>5.5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17.16379310344828</v>
      </c>
      <c r="I8" s="10">
        <v>16425.75</v>
      </c>
      <c r="J8" s="17">
        <v>3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27</v>
      </c>
      <c r="B9" s="45" t="s">
        <v>62</v>
      </c>
      <c r="C9" s="5">
        <v>957</v>
      </c>
      <c r="D9" s="48">
        <v>5.5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28</v>
      </c>
      <c r="B10" s="45" t="s">
        <v>64</v>
      </c>
      <c r="C10" s="5">
        <v>940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16.25292553191489</v>
      </c>
      <c r="I10" s="10">
        <v>15277.75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29</v>
      </c>
      <c r="B11" s="45" t="s">
        <v>61</v>
      </c>
      <c r="C11" s="5">
        <v>927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17.18905070118662</v>
      </c>
      <c r="I11" s="10">
        <v>15934.25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30</v>
      </c>
      <c r="B12" s="45" t="s">
        <v>63</v>
      </c>
      <c r="C12" s="5">
        <v>923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16.64192849404117</v>
      </c>
      <c r="I12" s="10">
        <v>15360.5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31</v>
      </c>
      <c r="B13" s="45" t="s">
        <v>66</v>
      </c>
      <c r="C13" s="5">
        <v>480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31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4.7109375" customWidth="1"/>
  </cols>
  <sheetData>
    <row r="1" spans="1:14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70</v>
      </c>
      <c r="C4" s="5">
        <v>2315</v>
      </c>
      <c r="D4" s="16">
        <v>4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18.76209503239741</v>
      </c>
      <c r="I4" s="10">
        <v>43434.25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71</v>
      </c>
      <c r="C5" s="5">
        <v>2372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72</v>
      </c>
      <c r="C6" s="5">
        <v>2302</v>
      </c>
      <c r="D6" s="28">
        <v>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17.98848827106864</v>
      </c>
      <c r="I6" s="10">
        <v>41409.5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73</v>
      </c>
      <c r="C7" s="5">
        <v>2416</v>
      </c>
      <c r="D7" s="20">
        <v>1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15.80318708609271</v>
      </c>
      <c r="I7" s="10">
        <v>38180.5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74</v>
      </c>
      <c r="C8" s="5">
        <v>1887</v>
      </c>
      <c r="D8" s="46">
        <v>6.5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18.45853206147324</v>
      </c>
      <c r="I8" s="10">
        <v>34831.25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75</v>
      </c>
      <c r="C9" s="5">
        <v>1885</v>
      </c>
      <c r="D9" s="24">
        <v>8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18.41153846153846</v>
      </c>
      <c r="I9" s="10">
        <v>34705.75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76</v>
      </c>
      <c r="C10" s="5">
        <v>1849</v>
      </c>
      <c r="D10" s="30">
        <v>10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18.105327203894</v>
      </c>
      <c r="I10" s="10">
        <v>33476.75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77</v>
      </c>
      <c r="C11" s="5">
        <v>2370</v>
      </c>
      <c r="D11" s="14">
        <v>3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13.61740506329114</v>
      </c>
      <c r="I11" s="10">
        <v>32273.25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78</v>
      </c>
      <c r="C12" s="5">
        <v>1850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17.44091891891892</v>
      </c>
      <c r="I12" s="10">
        <v>32265.7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79</v>
      </c>
      <c r="C13" s="5">
        <v>1887</v>
      </c>
      <c r="D13" s="46">
        <v>6.5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16.3966613672496</v>
      </c>
      <c r="I13" s="10">
        <v>30940.5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31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4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49" t="s">
        <v>73</v>
      </c>
      <c r="C4" s="5">
        <v>2416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15.80318708609271</v>
      </c>
      <c r="I4" s="10">
        <v>38180.5</v>
      </c>
      <c r="J4" s="19">
        <v>4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49" t="s">
        <v>71</v>
      </c>
      <c r="C5" s="5">
        <v>2372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18.03035413153457</v>
      </c>
      <c r="I5" s="10">
        <v>42768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49" t="s">
        <v>77</v>
      </c>
      <c r="C6" s="5">
        <v>2370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13.61740506329114</v>
      </c>
      <c r="I6" s="10">
        <v>32273.25</v>
      </c>
      <c r="J6" s="25">
        <v>7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49" t="s">
        <v>81</v>
      </c>
      <c r="C7" s="5">
        <v>2369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12.73184888138455</v>
      </c>
      <c r="I7" s="10">
        <v>30161.75</v>
      </c>
      <c r="J7" s="31">
        <v>10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49" t="s">
        <v>70</v>
      </c>
      <c r="C8" s="5">
        <v>2315</v>
      </c>
      <c r="D8" s="28">
        <v>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18.76209503239741</v>
      </c>
      <c r="I8" s="10">
        <v>43434.25</v>
      </c>
      <c r="J8" s="11">
        <v>1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49" t="s">
        <v>72</v>
      </c>
      <c r="C9" s="5">
        <v>2302</v>
      </c>
      <c r="D9" s="18">
        <v>6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17.98848827106864</v>
      </c>
      <c r="I9" s="10">
        <v>41409.5</v>
      </c>
      <c r="J9" s="17">
        <v>3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49" t="s">
        <v>74</v>
      </c>
      <c r="C10" s="5">
        <v>1887</v>
      </c>
      <c r="D10" s="47">
        <v>7.5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18.45853206147324</v>
      </c>
      <c r="I10" s="10">
        <v>34831.25</v>
      </c>
      <c r="J10" s="21">
        <v>5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49" t="s">
        <v>79</v>
      </c>
      <c r="C11" s="5">
        <v>1887</v>
      </c>
      <c r="D11" s="47">
        <v>7.5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16.3966613672496</v>
      </c>
      <c r="I11" s="10">
        <v>30940.5</v>
      </c>
      <c r="J11" s="29">
        <v>9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49" t="s">
        <v>75</v>
      </c>
      <c r="C12" s="5">
        <v>1885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18.41153846153846</v>
      </c>
      <c r="I12" s="10">
        <v>34705.75</v>
      </c>
      <c r="J12" s="23">
        <v>6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49" t="s">
        <v>78</v>
      </c>
      <c r="C13" s="5">
        <v>1850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17.44091891891892</v>
      </c>
      <c r="I13" s="10">
        <v>32265.7</v>
      </c>
      <c r="J13" s="27">
        <v>8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31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22</v>
      </c>
      <c r="B4" s="49" t="s">
        <v>83</v>
      </c>
      <c r="C4" s="5">
        <v>980</v>
      </c>
      <c r="D4" s="6">
        <v>2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17.24515306122449</v>
      </c>
      <c r="I4" s="10">
        <v>16900.25</v>
      </c>
      <c r="J4" s="11">
        <v>1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23</v>
      </c>
      <c r="B5" s="49" t="s">
        <v>84</v>
      </c>
      <c r="C5" s="5">
        <v>961</v>
      </c>
      <c r="D5" s="16">
        <v>4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17.37955254942768</v>
      </c>
      <c r="I5" s="10">
        <v>16701.75</v>
      </c>
      <c r="J5" s="15">
        <v>2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24</v>
      </c>
      <c r="B6" s="49" t="s">
        <v>85</v>
      </c>
      <c r="C6" s="5">
        <v>957</v>
      </c>
      <c r="D6" s="48">
        <v>5.5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17.16379310344828</v>
      </c>
      <c r="I6" s="10">
        <v>16425.75</v>
      </c>
      <c r="J6" s="17">
        <v>3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25</v>
      </c>
      <c r="B7" s="49" t="s">
        <v>86</v>
      </c>
      <c r="C7" s="5">
        <v>975</v>
      </c>
      <c r="D7" s="14">
        <v>3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16.43</v>
      </c>
      <c r="I7" s="10">
        <v>16019.25</v>
      </c>
      <c r="J7" s="19">
        <v>4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26</v>
      </c>
      <c r="B8" s="49" t="s">
        <v>87</v>
      </c>
      <c r="C8" s="5">
        <v>927</v>
      </c>
      <c r="D8" s="24">
        <v>8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17.18905070118662</v>
      </c>
      <c r="I8" s="10">
        <v>15934.25</v>
      </c>
      <c r="J8" s="21">
        <v>5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27</v>
      </c>
      <c r="B9" s="49" t="s">
        <v>88</v>
      </c>
      <c r="C9" s="5">
        <v>957</v>
      </c>
      <c r="D9" s="48">
        <v>5.5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28</v>
      </c>
      <c r="B10" s="49" t="s">
        <v>89</v>
      </c>
      <c r="C10" s="5">
        <v>923</v>
      </c>
      <c r="D10" s="26">
        <v>9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16.64192849404117</v>
      </c>
      <c r="I10" s="10">
        <v>15360.5</v>
      </c>
      <c r="J10" s="25">
        <v>7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29</v>
      </c>
      <c r="B11" s="49" t="s">
        <v>90</v>
      </c>
      <c r="C11" s="5">
        <v>940</v>
      </c>
      <c r="D11" s="22">
        <v>7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16.25292553191489</v>
      </c>
      <c r="I11" s="10">
        <v>15277.75</v>
      </c>
      <c r="J11" s="27">
        <v>8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30</v>
      </c>
      <c r="B12" s="49" t="s">
        <v>91</v>
      </c>
      <c r="C12" s="5">
        <v>987</v>
      </c>
      <c r="D12" s="20">
        <v>1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14.13956433637285</v>
      </c>
      <c r="I12" s="10">
        <v>13955.75</v>
      </c>
      <c r="J12" s="29">
        <v>9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31</v>
      </c>
      <c r="B13" s="49" t="s">
        <v>92</v>
      </c>
      <c r="C13" s="5">
        <v>480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31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3.7109375" customWidth="1"/>
    <col min="8" max="8" width="21.7109375" customWidth="1"/>
    <col min="9" max="9" width="14.7109375" customWidth="1"/>
    <col min="10" max="10" width="13.7109375" customWidth="1"/>
    <col min="11" max="11" width="22.7109375" customWidth="1"/>
    <col min="12" max="12" width="19.7109375" customWidth="1"/>
    <col min="13" max="13" width="23.7109375" customWidth="1"/>
  </cols>
  <sheetData>
    <row r="1" spans="1:14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69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22</v>
      </c>
      <c r="B4" s="49" t="s">
        <v>91</v>
      </c>
      <c r="C4" s="5">
        <v>987</v>
      </c>
      <c r="D4" s="20">
        <v>1</v>
      </c>
      <c r="E4" s="7">
        <f>C4/SUM($C$4:$C$13)</f>
        <v>0</v>
      </c>
      <c r="F4" s="8">
        <f>IF(ROW()=4,"",C4-C3)</f>
        <v>0</v>
      </c>
      <c r="G4" s="8">
        <f>IF(ROW()=4,"",(C4-C3)/C3*100)</f>
        <v>0</v>
      </c>
      <c r="H4" s="9">
        <v>14.13956433637285</v>
      </c>
      <c r="I4" s="10">
        <v>13955.75</v>
      </c>
      <c r="J4" s="29">
        <v>9</v>
      </c>
      <c r="K4" s="12">
        <f>I4/SUM($I$4:$I$13)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23</v>
      </c>
      <c r="B5" s="49" t="s">
        <v>83</v>
      </c>
      <c r="C5" s="5">
        <v>980</v>
      </c>
      <c r="D5" s="6">
        <v>2</v>
      </c>
      <c r="E5" s="7">
        <f>C5/SUM($C$4:$C$13)</f>
        <v>0</v>
      </c>
      <c r="F5" s="8">
        <f>IF(ROW()=4,"",C5-C4)</f>
        <v>0</v>
      </c>
      <c r="G5" s="8">
        <f>IF(ROW()=4,"",(C5-C4)/C4*100)</f>
        <v>0</v>
      </c>
      <c r="H5" s="9">
        <v>17.24515306122449</v>
      </c>
      <c r="I5" s="10">
        <v>16900.25</v>
      </c>
      <c r="J5" s="11">
        <v>1</v>
      </c>
      <c r="K5" s="12">
        <f>I5/SUM($I$4:$I$13)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24</v>
      </c>
      <c r="B6" s="49" t="s">
        <v>86</v>
      </c>
      <c r="C6" s="5">
        <v>975</v>
      </c>
      <c r="D6" s="14">
        <v>3</v>
      </c>
      <c r="E6" s="7">
        <f>C6/SUM($C$4:$C$13)</f>
        <v>0</v>
      </c>
      <c r="F6" s="8">
        <f>IF(ROW()=4,"",C6-C5)</f>
        <v>0</v>
      </c>
      <c r="G6" s="8">
        <f>IF(ROW()=4,"",(C6-C5)/C5*100)</f>
        <v>0</v>
      </c>
      <c r="H6" s="9">
        <v>16.43</v>
      </c>
      <c r="I6" s="10">
        <v>16019.25</v>
      </c>
      <c r="J6" s="19">
        <v>4</v>
      </c>
      <c r="K6" s="12">
        <f>I6/SUM($I$4:$I$13)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25</v>
      </c>
      <c r="B7" s="49" t="s">
        <v>84</v>
      </c>
      <c r="C7" s="5">
        <v>961</v>
      </c>
      <c r="D7" s="16">
        <v>4</v>
      </c>
      <c r="E7" s="7">
        <f>C7/SUM($C$4:$C$13)</f>
        <v>0</v>
      </c>
      <c r="F7" s="8">
        <f>IF(ROW()=4,"",C7-C6)</f>
        <v>0</v>
      </c>
      <c r="G7" s="8">
        <f>IF(ROW()=4,"",(C7-C6)/C6*100)</f>
        <v>0</v>
      </c>
      <c r="H7" s="9">
        <v>17.37955254942768</v>
      </c>
      <c r="I7" s="10">
        <v>16701.75</v>
      </c>
      <c r="J7" s="15">
        <v>2</v>
      </c>
      <c r="K7" s="12">
        <f>I7/SUM($I$4:$I$13)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26</v>
      </c>
      <c r="B8" s="49" t="s">
        <v>85</v>
      </c>
      <c r="C8" s="5">
        <v>957</v>
      </c>
      <c r="D8" s="48">
        <v>5.5</v>
      </c>
      <c r="E8" s="7">
        <f>C8/SUM($C$4:$C$13)</f>
        <v>0</v>
      </c>
      <c r="F8" s="8">
        <f>IF(ROW()=4,"",C8-C7)</f>
        <v>0</v>
      </c>
      <c r="G8" s="8">
        <f>IF(ROW()=4,"",(C8-C7)/C7*100)</f>
        <v>0</v>
      </c>
      <c r="H8" s="9">
        <v>17.16379310344828</v>
      </c>
      <c r="I8" s="10">
        <v>16425.75</v>
      </c>
      <c r="J8" s="17">
        <v>3</v>
      </c>
      <c r="K8" s="12">
        <f>I8/SUM($I$4:$I$13)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27</v>
      </c>
      <c r="B9" s="49" t="s">
        <v>88</v>
      </c>
      <c r="C9" s="5">
        <v>957</v>
      </c>
      <c r="D9" s="48">
        <v>5.5</v>
      </c>
      <c r="E9" s="7">
        <f>C9/SUM($C$4:$C$13)</f>
        <v>0</v>
      </c>
      <c r="F9" s="8">
        <f>IF(ROW()=4,"",C9-C8)</f>
        <v>0</v>
      </c>
      <c r="G9" s="8">
        <f>IF(ROW()=4,"",(C9-C8)/C8*100)</f>
        <v>0</v>
      </c>
      <c r="H9" s="9">
        <v>16.29676071055382</v>
      </c>
      <c r="I9" s="10">
        <v>15596</v>
      </c>
      <c r="J9" s="23">
        <v>6</v>
      </c>
      <c r="K9" s="12">
        <f>I9/SUM($I$4:$I$13)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28</v>
      </c>
      <c r="B10" s="49" t="s">
        <v>90</v>
      </c>
      <c r="C10" s="5">
        <v>940</v>
      </c>
      <c r="D10" s="22">
        <v>7</v>
      </c>
      <c r="E10" s="7">
        <f>C10/SUM($C$4:$C$13)</f>
        <v>0</v>
      </c>
      <c r="F10" s="8">
        <f>IF(ROW()=4,"",C10-C9)</f>
        <v>0</v>
      </c>
      <c r="G10" s="8">
        <f>IF(ROW()=4,"",(C10-C9)/C9*100)</f>
        <v>0</v>
      </c>
      <c r="H10" s="9">
        <v>16.25292553191489</v>
      </c>
      <c r="I10" s="10">
        <v>15277.75</v>
      </c>
      <c r="J10" s="27">
        <v>8</v>
      </c>
      <c r="K10" s="12">
        <f>I10/SUM($I$4:$I$13)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29</v>
      </c>
      <c r="B11" s="49" t="s">
        <v>87</v>
      </c>
      <c r="C11" s="5">
        <v>927</v>
      </c>
      <c r="D11" s="24">
        <v>8</v>
      </c>
      <c r="E11" s="7">
        <f>C11/SUM($C$4:$C$13)</f>
        <v>0</v>
      </c>
      <c r="F11" s="8">
        <f>IF(ROW()=4,"",C11-C10)</f>
        <v>0</v>
      </c>
      <c r="G11" s="8">
        <f>IF(ROW()=4,"",(C11-C10)/C10*100)</f>
        <v>0</v>
      </c>
      <c r="H11" s="9">
        <v>17.18905070118662</v>
      </c>
      <c r="I11" s="10">
        <v>15934.25</v>
      </c>
      <c r="J11" s="21">
        <v>5</v>
      </c>
      <c r="K11" s="12">
        <f>I11/SUM($I$4:$I$13)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30</v>
      </c>
      <c r="B12" s="49" t="s">
        <v>89</v>
      </c>
      <c r="C12" s="5">
        <v>923</v>
      </c>
      <c r="D12" s="26">
        <v>9</v>
      </c>
      <c r="E12" s="7">
        <f>C12/SUM($C$4:$C$13)</f>
        <v>0</v>
      </c>
      <c r="F12" s="8">
        <f>IF(ROW()=4,"",C12-C11)</f>
        <v>0</v>
      </c>
      <c r="G12" s="8">
        <f>IF(ROW()=4,"",(C12-C11)/C11*100)</f>
        <v>0</v>
      </c>
      <c r="H12" s="9">
        <v>16.64192849404117</v>
      </c>
      <c r="I12" s="10">
        <v>15360.5</v>
      </c>
      <c r="J12" s="25">
        <v>7</v>
      </c>
      <c r="K12" s="12">
        <f>I12/SUM($I$4:$I$13)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31</v>
      </c>
      <c r="B13" s="49" t="s">
        <v>92</v>
      </c>
      <c r="C13" s="5">
        <v>480</v>
      </c>
      <c r="D13" s="30">
        <v>10</v>
      </c>
      <c r="E13" s="7">
        <f>C13/SUM($C$4:$C$13)</f>
        <v>0</v>
      </c>
      <c r="F13" s="8">
        <f>IF(ROW()=4,"",C13-C12)</f>
        <v>0</v>
      </c>
      <c r="G13" s="8">
        <f>IF(ROW()=4,"",(C13-C12)/C12*100)</f>
        <v>0</v>
      </c>
      <c r="H13" s="9">
        <v>24.14270833333333</v>
      </c>
      <c r="I13" s="10">
        <v>11588.5</v>
      </c>
      <c r="J13" s="31">
        <v>10</v>
      </c>
      <c r="K13" s="12">
        <f>I13/SUM($I$4:$I$13)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 t="s">
        <v>12</v>
      </c>
      <c r="B14" s="32"/>
      <c r="C14" s="33">
        <f>SUBTOTAL(9,C4:C13)</f>
        <v>0</v>
      </c>
      <c r="D14" s="32"/>
      <c r="E14" s="34">
        <f>SUBTOTAL(9,E4:E13)</f>
        <v>0</v>
      </c>
      <c r="F14" s="35">
        <f>SUBTOTAL(9,F4:F13)</f>
        <v>0</v>
      </c>
      <c r="G14" s="35">
        <f>SUBTOTAL(9,G4:G13)</f>
        <v>0</v>
      </c>
      <c r="H14" s="36">
        <f>SUBTOTAL(9,H4:H13)</f>
        <v>0</v>
      </c>
      <c r="I14" s="37">
        <f>SUBTOTAL(9,I4:I13)</f>
        <v>0</v>
      </c>
      <c r="J14" s="32"/>
      <c r="K14" s="34">
        <f>SUBTOTAL(9,K4:K13)</f>
        <v>0</v>
      </c>
      <c r="L14" s="38">
        <f>SUBTOTAL(9,L4:L13)</f>
        <v>0</v>
      </c>
      <c r="M14" s="35">
        <f>SUBTOTAL(9,M4:M13)</f>
        <v>0</v>
      </c>
    </row>
  </sheetData>
  <autoFilter ref="A3:M13"/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1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95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50" t="s">
        <v>96</v>
      </c>
      <c r="C4" s="5">
        <v>14579</v>
      </c>
      <c r="D4" s="20">
        <v>1</v>
      </c>
      <c r="E4" s="7">
        <f>C4/SUM($C$4:$C$7)</f>
        <v>0</v>
      </c>
      <c r="F4" s="8">
        <f>IF(ROW()=4,"",C4-C3)</f>
        <v>0</v>
      </c>
      <c r="G4" s="8">
        <f>IF(ROW()=4,"",(C4-C3)/C3*100)</f>
        <v>0</v>
      </c>
      <c r="H4" s="9">
        <v>15.09384045544962</v>
      </c>
      <c r="I4" s="10">
        <v>220053.1</v>
      </c>
      <c r="J4" s="11">
        <v>1</v>
      </c>
      <c r="K4" s="12">
        <f>I4/SUM($I$4:$I$7)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50" t="s">
        <v>97</v>
      </c>
      <c r="C5" s="5">
        <v>11777</v>
      </c>
      <c r="D5" s="16">
        <v>2</v>
      </c>
      <c r="E5" s="7">
        <f>C5/SUM($C$4:$C$7)</f>
        <v>0</v>
      </c>
      <c r="F5" s="8">
        <f>IF(ROW()=4,"",C5-C4)</f>
        <v>0</v>
      </c>
      <c r="G5" s="8">
        <f>IF(ROW()=4,"",(C5-C4)/C4*100)</f>
        <v>0</v>
      </c>
      <c r="H5" s="9">
        <v>17.67827120658912</v>
      </c>
      <c r="I5" s="10">
        <v>208197</v>
      </c>
      <c r="J5" s="19">
        <v>2</v>
      </c>
      <c r="K5" s="12">
        <f>I5/SUM($I$4:$I$7)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50" t="s">
        <v>98</v>
      </c>
      <c r="C6" s="5">
        <v>10815</v>
      </c>
      <c r="D6" s="30">
        <v>4</v>
      </c>
      <c r="E6" s="7">
        <f>C6/SUM($C$4:$C$7)</f>
        <v>0</v>
      </c>
      <c r="F6" s="8">
        <f>IF(ROW()=4,"",C6-C5)</f>
        <v>0</v>
      </c>
      <c r="G6" s="8">
        <f>IF(ROW()=4,"",(C6-C5)/C5*100)</f>
        <v>0</v>
      </c>
      <c r="H6" s="9">
        <v>18.11553398058252</v>
      </c>
      <c r="I6" s="10">
        <v>195919.5</v>
      </c>
      <c r="J6" s="25">
        <v>3</v>
      </c>
      <c r="K6" s="12">
        <f>I6/SUM($I$4:$I$7)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50" t="s">
        <v>99</v>
      </c>
      <c r="C7" s="5">
        <v>11449</v>
      </c>
      <c r="D7" s="22">
        <v>3</v>
      </c>
      <c r="E7" s="7">
        <f>C7/SUM($C$4:$C$7)</f>
        <v>0</v>
      </c>
      <c r="F7" s="8">
        <f>IF(ROW()=4,"",C7-C6)</f>
        <v>0</v>
      </c>
      <c r="G7" s="8">
        <f>IF(ROW()=4,"",(C7-C6)/C6*100)</f>
        <v>0</v>
      </c>
      <c r="H7" s="9">
        <v>16.91767403266661</v>
      </c>
      <c r="I7" s="10">
        <v>193690.45</v>
      </c>
      <c r="J7" s="31">
        <v>4</v>
      </c>
      <c r="K7" s="12">
        <f>I7/SUM($I$4:$I$7)</f>
        <v>0</v>
      </c>
      <c r="L7" s="13">
        <f>IF(ROW()=4,"",I7-I6)</f>
        <v>0</v>
      </c>
      <c r="M7" s="8">
        <f>IF(ROW()=4,"",(I7-I6)/I6*100)</f>
        <v>0</v>
      </c>
    </row>
    <row r="8" spans="1:14">
      <c r="A8" s="3" t="s">
        <v>12</v>
      </c>
      <c r="B8" s="32"/>
      <c r="C8" s="33">
        <f>SUBTOTAL(9,C4:C7)</f>
        <v>0</v>
      </c>
      <c r="D8" s="32"/>
      <c r="E8" s="34">
        <f>SUBTOTAL(9,E4:E7)</f>
        <v>0</v>
      </c>
      <c r="F8" s="35">
        <f>SUBTOTAL(9,F4:F7)</f>
        <v>0</v>
      </c>
      <c r="G8" s="35">
        <f>SUBTOTAL(9,G4:G7)</f>
        <v>0</v>
      </c>
      <c r="H8" s="36">
        <f>SUBTOTAL(9,H4:H7)</f>
        <v>0</v>
      </c>
      <c r="I8" s="37">
        <f>SUBTOTAL(9,I4:I7)</f>
        <v>0</v>
      </c>
      <c r="J8" s="32"/>
      <c r="K8" s="34">
        <f>SUBTOTAL(9,K4:K7)</f>
        <v>0</v>
      </c>
      <c r="L8" s="38">
        <f>SUBTOTAL(9,L4:L7)</f>
        <v>0</v>
      </c>
      <c r="M8" s="35">
        <f>SUBTOTAL(9,M4:M7)</f>
        <v>0</v>
      </c>
    </row>
  </sheetData>
  <autoFilter ref="A3:M7"/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7.7109375" customWidth="1"/>
    <col min="3" max="3" width="8.7109375" customWidth="1"/>
    <col min="4" max="4" width="13.7109375" customWidth="1"/>
    <col min="5" max="5" width="24.7109375" customWidth="1"/>
    <col min="6" max="6" width="13.7109375" customWidth="1"/>
    <col min="7" max="7" width="22.7109375" customWidth="1"/>
    <col min="8" max="9" width="21.7109375" customWidth="1"/>
    <col min="10" max="10" width="13.7109375" customWidth="1"/>
    <col min="11" max="11" width="24.7109375" customWidth="1"/>
    <col min="12" max="12" width="22.7109375" customWidth="1"/>
    <col min="13" max="13" width="23.7109375" customWidth="1"/>
  </cols>
  <sheetData>
    <row r="1" spans="1:14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51" t="s">
        <v>102</v>
      </c>
      <c r="C4" s="5">
        <v>18526</v>
      </c>
      <c r="D4" s="20">
        <v>1</v>
      </c>
      <c r="E4" s="7">
        <f>C4/SUM($C$4:$C$8)</f>
        <v>0</v>
      </c>
      <c r="F4" s="8">
        <f>IF(ROW()=4,"",C4-C3)</f>
        <v>0</v>
      </c>
      <c r="G4" s="8">
        <f>IF(ROW()=4,"",(C4-C3)/C3*100)</f>
        <v>0</v>
      </c>
      <c r="H4" s="9">
        <v>20.25902515383785</v>
      </c>
      <c r="I4" s="10">
        <v>375318.7</v>
      </c>
      <c r="J4" s="11">
        <v>1</v>
      </c>
      <c r="K4" s="12">
        <f>I4/SUM($I$4:$I$8)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51" t="s">
        <v>103</v>
      </c>
      <c r="C5" s="5">
        <v>15385</v>
      </c>
      <c r="D5" s="52">
        <v>2</v>
      </c>
      <c r="E5" s="7">
        <f>C5/SUM($C$4:$C$8)</f>
        <v>0</v>
      </c>
      <c r="F5" s="8">
        <f>IF(ROW()=4,"",C5-C4)</f>
        <v>0</v>
      </c>
      <c r="G5" s="8">
        <f>IF(ROW()=4,"",(C5-C4)/C4*100)</f>
        <v>0</v>
      </c>
      <c r="H5" s="9">
        <v>16.20944101397465</v>
      </c>
      <c r="I5" s="10">
        <v>249382.25</v>
      </c>
      <c r="J5" s="53">
        <v>2</v>
      </c>
      <c r="K5" s="12">
        <f>I5/SUM($I$4:$I$8)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51" t="s">
        <v>104</v>
      </c>
      <c r="C6" s="5">
        <v>14137</v>
      </c>
      <c r="D6" s="48">
        <v>3</v>
      </c>
      <c r="E6" s="7">
        <f>C6/SUM($C$4:$C$8)</f>
        <v>0</v>
      </c>
      <c r="F6" s="8">
        <f>IF(ROW()=4,"",C6-C5)</f>
        <v>0</v>
      </c>
      <c r="G6" s="8">
        <f>IF(ROW()=4,"",(C6-C5)/C5*100)</f>
        <v>0</v>
      </c>
      <c r="H6" s="9">
        <v>12.59648440263139</v>
      </c>
      <c r="I6" s="10">
        <v>178076.5</v>
      </c>
      <c r="J6" s="54">
        <v>3</v>
      </c>
      <c r="K6" s="12">
        <f>I6/SUM($I$4:$I$8)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51" t="s">
        <v>105</v>
      </c>
      <c r="C7" s="5">
        <v>544</v>
      </c>
      <c r="D7" s="55">
        <v>4</v>
      </c>
      <c r="E7" s="7">
        <f>C7/SUM($C$4:$C$8)</f>
        <v>0</v>
      </c>
      <c r="F7" s="8">
        <f>IF(ROW()=4,"",C7-C6)</f>
        <v>0</v>
      </c>
      <c r="G7" s="8">
        <f>IF(ROW()=4,"",(C7-C6)/C6*100)</f>
        <v>0</v>
      </c>
      <c r="H7" s="9">
        <v>25.875</v>
      </c>
      <c r="I7" s="10">
        <v>14076</v>
      </c>
      <c r="J7" s="56">
        <v>4</v>
      </c>
      <c r="K7" s="12">
        <f>I7/SUM($I$4:$I$8)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51" t="s">
        <v>106</v>
      </c>
      <c r="C8" s="5">
        <v>28</v>
      </c>
      <c r="D8" s="30">
        <v>5</v>
      </c>
      <c r="E8" s="7">
        <f>C8/SUM($C$4:$C$8)</f>
        <v>0</v>
      </c>
      <c r="F8" s="8">
        <f>IF(ROW()=4,"",C8-C7)</f>
        <v>0</v>
      </c>
      <c r="G8" s="8">
        <f>IF(ROW()=4,"",(C8-C7)/C7*100)</f>
        <v>0</v>
      </c>
      <c r="H8" s="9">
        <v>35.95</v>
      </c>
      <c r="I8" s="10">
        <v>1006.6</v>
      </c>
      <c r="J8" s="31">
        <v>5</v>
      </c>
      <c r="K8" s="12">
        <f>I8/SUM($I$4:$I$8)</f>
        <v>0</v>
      </c>
      <c r="L8" s="13">
        <f>IF(ROW()=4,"",I8-I7)</f>
        <v>0</v>
      </c>
      <c r="M8" s="8">
        <f>IF(ROW()=4,"",(I8-I7)/I7*100)</f>
        <v>0</v>
      </c>
    </row>
    <row r="9" spans="1:14">
      <c r="A9" s="3" t="s">
        <v>12</v>
      </c>
      <c r="B9" s="32"/>
      <c r="C9" s="33">
        <f>SUBTOTAL(9,C4:C8)</f>
        <v>0</v>
      </c>
      <c r="D9" s="32"/>
      <c r="E9" s="34">
        <f>SUBTOTAL(9,E4:E8)</f>
        <v>0</v>
      </c>
      <c r="F9" s="35">
        <f>SUBTOTAL(9,F4:F8)</f>
        <v>0</v>
      </c>
      <c r="G9" s="35">
        <f>SUBTOTAL(9,G4:G8)</f>
        <v>0</v>
      </c>
      <c r="H9" s="36">
        <f>SUBTOTAL(9,H4:H8)</f>
        <v>0</v>
      </c>
      <c r="I9" s="37">
        <f>SUBTOTAL(9,I4:I8)</f>
        <v>0</v>
      </c>
      <c r="J9" s="32"/>
      <c r="K9" s="34">
        <f>SUBTOTAL(9,K4:K8)</f>
        <v>0</v>
      </c>
      <c r="L9" s="38">
        <f>SUBTOTAL(9,L4:L8)</f>
        <v>0</v>
      </c>
      <c r="M9" s="35">
        <f>SUBTOTAL(9,M4:M8)</f>
        <v>0</v>
      </c>
    </row>
  </sheetData>
  <autoFilter ref="A3:M8"/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2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108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57" t="s">
        <v>109</v>
      </c>
      <c r="C4" s="5">
        <v>6369</v>
      </c>
      <c r="D4" s="58">
        <v>6</v>
      </c>
      <c r="E4" s="7">
        <f>C4/SUM($C$4:$C$10)</f>
        <v>0</v>
      </c>
      <c r="F4" s="8">
        <f>IF(ROW()=4,"",C4-C3)</f>
        <v>0</v>
      </c>
      <c r="G4" s="8">
        <f>IF(ROW()=4,"",(C4-C3)/C3*100)</f>
        <v>0</v>
      </c>
      <c r="H4" s="9">
        <v>16.85186842518449</v>
      </c>
      <c r="I4" s="10">
        <v>107329.55</v>
      </c>
      <c r="J4" s="59">
        <v>6</v>
      </c>
      <c r="K4" s="12">
        <f>I4/SUM($I$4:$I$10)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57" t="s">
        <v>110</v>
      </c>
      <c r="C5" s="5">
        <v>6753</v>
      </c>
      <c r="D5" s="22">
        <v>5</v>
      </c>
      <c r="E5" s="7">
        <f>C5/SUM($C$4:$C$10)</f>
        <v>0</v>
      </c>
      <c r="F5" s="8">
        <f>IF(ROW()=4,"",C5-C4)</f>
        <v>0</v>
      </c>
      <c r="G5" s="8">
        <f>IF(ROW()=4,"",(C5-C4)/C4*100)</f>
        <v>0</v>
      </c>
      <c r="H5" s="9">
        <v>16.9011994669036</v>
      </c>
      <c r="I5" s="10">
        <v>114133.8</v>
      </c>
      <c r="J5" s="25">
        <v>5</v>
      </c>
      <c r="K5" s="12">
        <f>I5/SUM($I$4:$I$10)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57" t="s">
        <v>111</v>
      </c>
      <c r="C6" s="5">
        <v>6797</v>
      </c>
      <c r="D6" s="48">
        <v>4</v>
      </c>
      <c r="E6" s="7">
        <f>C6/SUM($C$4:$C$10)</f>
        <v>0</v>
      </c>
      <c r="F6" s="8">
        <f>IF(ROW()=4,"",C6-C5)</f>
        <v>0</v>
      </c>
      <c r="G6" s="8">
        <f>IF(ROW()=4,"",(C6-C5)/C5*100)</f>
        <v>0</v>
      </c>
      <c r="H6" s="9">
        <v>16.83219067235545</v>
      </c>
      <c r="I6" s="10">
        <v>114408.4</v>
      </c>
      <c r="J6" s="54">
        <v>4</v>
      </c>
      <c r="K6" s="12">
        <f>I6/SUM($I$4:$I$10)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57" t="s">
        <v>112</v>
      </c>
      <c r="C7" s="5">
        <v>7323</v>
      </c>
      <c r="D7" s="16">
        <v>3</v>
      </c>
      <c r="E7" s="7">
        <f>C7/SUM($C$4:$C$10)</f>
        <v>0</v>
      </c>
      <c r="F7" s="8">
        <f>IF(ROW()=4,"",C7-C6)</f>
        <v>0</v>
      </c>
      <c r="G7" s="8">
        <f>IF(ROW()=4,"",(C7-C6)/C6*100)</f>
        <v>0</v>
      </c>
      <c r="H7" s="9">
        <v>16.86856479584869</v>
      </c>
      <c r="I7" s="10">
        <v>123528.5</v>
      </c>
      <c r="J7" s="60">
        <v>2</v>
      </c>
      <c r="K7" s="12">
        <f>I7/SUM($I$4:$I$10)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57" t="s">
        <v>113</v>
      </c>
      <c r="C8" s="5">
        <v>8106</v>
      </c>
      <c r="D8" s="20">
        <v>1</v>
      </c>
      <c r="E8" s="7">
        <f>C8/SUM($C$4:$C$10)</f>
        <v>0</v>
      </c>
      <c r="F8" s="8">
        <f>IF(ROW()=4,"",C8-C7)</f>
        <v>0</v>
      </c>
      <c r="G8" s="8">
        <f>IF(ROW()=4,"",(C8-C7)/C7*100)</f>
        <v>0</v>
      </c>
      <c r="H8" s="9">
        <v>16.78681223784851</v>
      </c>
      <c r="I8" s="10">
        <v>136073.9</v>
      </c>
      <c r="J8" s="11">
        <v>1</v>
      </c>
      <c r="K8" s="12">
        <f>I8/SUM($I$4:$I$10)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57" t="s">
        <v>114</v>
      </c>
      <c r="C9" s="5">
        <v>7355</v>
      </c>
      <c r="D9" s="61">
        <v>2</v>
      </c>
      <c r="E9" s="7">
        <f>C9/SUM($C$4:$C$10)</f>
        <v>0</v>
      </c>
      <c r="F9" s="8">
        <f>IF(ROW()=4,"",C9-C8)</f>
        <v>0</v>
      </c>
      <c r="G9" s="8">
        <f>IF(ROW()=4,"",(C9-C8)/C8*100)</f>
        <v>0</v>
      </c>
      <c r="H9" s="9">
        <v>16.74811692726037</v>
      </c>
      <c r="I9" s="10">
        <v>123182.4</v>
      </c>
      <c r="J9" s="19">
        <v>3</v>
      </c>
      <c r="K9" s="12">
        <f>I9/SUM($I$4:$I$10)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57" t="s">
        <v>115</v>
      </c>
      <c r="C10" s="5">
        <v>5917</v>
      </c>
      <c r="D10" s="30">
        <v>7</v>
      </c>
      <c r="E10" s="7">
        <f>C10/SUM($C$4:$C$10)</f>
        <v>0</v>
      </c>
      <c r="F10" s="8">
        <f>IF(ROW()=4,"",C10-C9)</f>
        <v>0</v>
      </c>
      <c r="G10" s="8">
        <f>IF(ROW()=4,"",(C10-C9)/C9*100)</f>
        <v>0</v>
      </c>
      <c r="H10" s="9">
        <v>16.7658441777928</v>
      </c>
      <c r="I10" s="10">
        <v>99203.5</v>
      </c>
      <c r="J10" s="31">
        <v>7</v>
      </c>
      <c r="K10" s="12">
        <f>I10/SUM($I$4:$I$10)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 t="s">
        <v>12</v>
      </c>
      <c r="B11" s="32"/>
      <c r="C11" s="33">
        <f>SUBTOTAL(9,C4:C10)</f>
        <v>0</v>
      </c>
      <c r="D11" s="32"/>
      <c r="E11" s="34">
        <f>SUBTOTAL(9,E4:E10)</f>
        <v>0</v>
      </c>
      <c r="F11" s="35">
        <f>SUBTOTAL(9,F4:F10)</f>
        <v>0</v>
      </c>
      <c r="G11" s="35">
        <f>SUBTOTAL(9,G4:G10)</f>
        <v>0</v>
      </c>
      <c r="H11" s="36">
        <f>SUBTOTAL(9,H4:H10)</f>
        <v>0</v>
      </c>
      <c r="I11" s="37">
        <f>SUBTOTAL(9,I4:I10)</f>
        <v>0</v>
      </c>
      <c r="J11" s="32"/>
      <c r="K11" s="34">
        <f>SUBTOTAL(9,K4:K10)</f>
        <v>0</v>
      </c>
      <c r="L11" s="38">
        <f>SUBTOTAL(9,L4:L10)</f>
        <v>0</v>
      </c>
      <c r="M11" s="35">
        <f>SUBTOTAL(9,M4:M10)</f>
        <v>0</v>
      </c>
    </row>
  </sheetData>
  <autoFilter ref="A3:M10"/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2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14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117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62" t="s">
        <v>118</v>
      </c>
      <c r="C4" s="5">
        <v>4156</v>
      </c>
      <c r="D4" s="63">
        <v>5</v>
      </c>
      <c r="E4" s="7">
        <f>C4/SUM($C$4:$C$15)</f>
        <v>0</v>
      </c>
      <c r="F4" s="8">
        <f>IF(ROW()=4,"",C4-C3)</f>
        <v>0</v>
      </c>
      <c r="G4" s="8">
        <f>IF(ROW()=4,"",(C4-C3)/C3*100)</f>
        <v>0</v>
      </c>
      <c r="H4" s="9">
        <v>16.79338306063523</v>
      </c>
      <c r="I4" s="10">
        <v>69793.3</v>
      </c>
      <c r="J4" s="64">
        <v>5</v>
      </c>
      <c r="K4" s="12">
        <f>I4/SUM($I$4:$I$15)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62" t="s">
        <v>119</v>
      </c>
      <c r="C5" s="5">
        <v>3892</v>
      </c>
      <c r="D5" s="65">
        <v>9</v>
      </c>
      <c r="E5" s="7">
        <f>C5/SUM($C$4:$C$15)</f>
        <v>0</v>
      </c>
      <c r="F5" s="8">
        <f>IF(ROW()=4,"",C5-C4)</f>
        <v>0</v>
      </c>
      <c r="G5" s="8">
        <f>IF(ROW()=4,"",(C5-C4)/C4*100)</f>
        <v>0</v>
      </c>
      <c r="H5" s="9">
        <v>16.74193216855087</v>
      </c>
      <c r="I5" s="10">
        <v>65159.6</v>
      </c>
      <c r="J5" s="66">
        <v>9</v>
      </c>
      <c r="K5" s="12">
        <f>I5/SUM($I$4:$I$15)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62" t="s">
        <v>120</v>
      </c>
      <c r="C6" s="5">
        <v>4186</v>
      </c>
      <c r="D6" s="67">
        <v>3</v>
      </c>
      <c r="E6" s="7">
        <f>C6/SUM($C$4:$C$15)</f>
        <v>0</v>
      </c>
      <c r="F6" s="8">
        <f>IF(ROW()=4,"",C6-C5)</f>
        <v>0</v>
      </c>
      <c r="G6" s="8">
        <f>IF(ROW()=4,"",(C6-C5)/C5*100)</f>
        <v>0</v>
      </c>
      <c r="H6" s="9">
        <v>16.81727185857621</v>
      </c>
      <c r="I6" s="10">
        <v>70397.10000000001</v>
      </c>
      <c r="J6" s="68">
        <v>3</v>
      </c>
      <c r="K6" s="12">
        <f>I6/SUM($I$4:$I$15)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62" t="s">
        <v>121</v>
      </c>
      <c r="C7" s="5">
        <v>4067</v>
      </c>
      <c r="D7" s="69">
        <v>7</v>
      </c>
      <c r="E7" s="7">
        <f>C7/SUM($C$4:$C$15)</f>
        <v>0</v>
      </c>
      <c r="F7" s="8">
        <f>IF(ROW()=4,"",C7-C6)</f>
        <v>0</v>
      </c>
      <c r="G7" s="8">
        <f>IF(ROW()=4,"",(C7-C6)/C6*100)</f>
        <v>0</v>
      </c>
      <c r="H7" s="9">
        <v>16.90110646668306</v>
      </c>
      <c r="I7" s="10">
        <v>68736.8</v>
      </c>
      <c r="J7" s="70">
        <v>6</v>
      </c>
      <c r="K7" s="12">
        <f>I7/SUM($I$4:$I$15)</f>
        <v>0</v>
      </c>
      <c r="L7" s="13">
        <f>IF(ROW()=4,"",I7-I6)</f>
        <v>0</v>
      </c>
      <c r="M7" s="8">
        <f>IF(ROW()=4,"",(I7-I6)/I6*100)</f>
        <v>0</v>
      </c>
    </row>
    <row r="8" spans="1:14">
      <c r="A8" s="3">
        <v>4</v>
      </c>
      <c r="B8" s="62" t="s">
        <v>122</v>
      </c>
      <c r="C8" s="5">
        <v>4239</v>
      </c>
      <c r="D8" s="71">
        <v>2</v>
      </c>
      <c r="E8" s="7">
        <f>C8/SUM($C$4:$C$15)</f>
        <v>0</v>
      </c>
      <c r="F8" s="8">
        <f>IF(ROW()=4,"",C8-C7)</f>
        <v>0</v>
      </c>
      <c r="G8" s="8">
        <f>IF(ROW()=4,"",(C8-C7)/C7*100)</f>
        <v>0</v>
      </c>
      <c r="H8" s="9">
        <v>16.84424392545412</v>
      </c>
      <c r="I8" s="10">
        <v>71402.75</v>
      </c>
      <c r="J8" s="72">
        <v>2</v>
      </c>
      <c r="K8" s="12">
        <f>I8/SUM($I$4:$I$15)</f>
        <v>0</v>
      </c>
      <c r="L8" s="13">
        <f>IF(ROW()=4,"",I8-I7)</f>
        <v>0</v>
      </c>
      <c r="M8" s="8">
        <f>IF(ROW()=4,"",(I8-I7)/I7*100)</f>
        <v>0</v>
      </c>
    </row>
    <row r="9" spans="1:14">
      <c r="A9" s="3">
        <v>5</v>
      </c>
      <c r="B9" s="62" t="s">
        <v>123</v>
      </c>
      <c r="C9" s="5">
        <v>4025</v>
      </c>
      <c r="D9" s="73">
        <v>8</v>
      </c>
      <c r="E9" s="7">
        <f>C9/SUM($C$4:$C$15)</f>
        <v>0</v>
      </c>
      <c r="F9" s="8">
        <f>IF(ROW()=4,"",C9-C8)</f>
        <v>0</v>
      </c>
      <c r="G9" s="8">
        <f>IF(ROW()=4,"",(C9-C8)/C8*100)</f>
        <v>0</v>
      </c>
      <c r="H9" s="9">
        <v>16.95160248447205</v>
      </c>
      <c r="I9" s="10">
        <v>68230.2</v>
      </c>
      <c r="J9" s="74">
        <v>8</v>
      </c>
      <c r="K9" s="12">
        <f>I9/SUM($I$4:$I$15)</f>
        <v>0</v>
      </c>
      <c r="L9" s="13">
        <f>IF(ROW()=4,"",I9-I8)</f>
        <v>0</v>
      </c>
      <c r="M9" s="8">
        <f>IF(ROW()=4,"",(I9-I8)/I8*100)</f>
        <v>0</v>
      </c>
    </row>
    <row r="10" spans="1:14">
      <c r="A10" s="3">
        <v>6</v>
      </c>
      <c r="B10" s="62" t="s">
        <v>124</v>
      </c>
      <c r="C10" s="5">
        <v>4301</v>
      </c>
      <c r="D10" s="20">
        <v>1</v>
      </c>
      <c r="E10" s="7">
        <f>C10/SUM($C$4:$C$15)</f>
        <v>0</v>
      </c>
      <c r="F10" s="8">
        <f>IF(ROW()=4,"",C10-C9)</f>
        <v>0</v>
      </c>
      <c r="G10" s="8">
        <f>IF(ROW()=4,"",(C10-C9)/C9*100)</f>
        <v>0</v>
      </c>
      <c r="H10" s="9">
        <v>16.87000697512206</v>
      </c>
      <c r="I10" s="10">
        <v>72557.89999999999</v>
      </c>
      <c r="J10" s="11">
        <v>1</v>
      </c>
      <c r="K10" s="12">
        <f>I10/SUM($I$4:$I$15)</f>
        <v>0</v>
      </c>
      <c r="L10" s="13">
        <f>IF(ROW()=4,"",I10-I9)</f>
        <v>0</v>
      </c>
      <c r="M10" s="8">
        <f>IF(ROW()=4,"",(I10-I9)/I9*100)</f>
        <v>0</v>
      </c>
    </row>
    <row r="11" spans="1:14">
      <c r="A11" s="3">
        <v>7</v>
      </c>
      <c r="B11" s="62" t="s">
        <v>125</v>
      </c>
      <c r="C11" s="5">
        <v>4094</v>
      </c>
      <c r="D11" s="75">
        <v>6</v>
      </c>
      <c r="E11" s="7">
        <f>C11/SUM($C$4:$C$15)</f>
        <v>0</v>
      </c>
      <c r="F11" s="8">
        <f>IF(ROW()=4,"",C11-C10)</f>
        <v>0</v>
      </c>
      <c r="G11" s="8">
        <f>IF(ROW()=4,"",(C11-C10)/C10*100)</f>
        <v>0</v>
      </c>
      <c r="H11" s="9">
        <v>16.67763800683928</v>
      </c>
      <c r="I11" s="10">
        <v>68278.25</v>
      </c>
      <c r="J11" s="76">
        <v>7</v>
      </c>
      <c r="K11" s="12">
        <f>I11/SUM($I$4:$I$15)</f>
        <v>0</v>
      </c>
      <c r="L11" s="13">
        <f>IF(ROW()=4,"",I11-I10)</f>
        <v>0</v>
      </c>
      <c r="M11" s="8">
        <f>IF(ROW()=4,"",(I11-I10)/I10*100)</f>
        <v>0</v>
      </c>
    </row>
    <row r="12" spans="1:14">
      <c r="A12" s="3">
        <v>8</v>
      </c>
      <c r="B12" s="62" t="s">
        <v>126</v>
      </c>
      <c r="C12" s="5">
        <v>3819</v>
      </c>
      <c r="D12" s="77">
        <v>11</v>
      </c>
      <c r="E12" s="7">
        <f>C12/SUM($C$4:$C$15)</f>
        <v>0</v>
      </c>
      <c r="F12" s="8">
        <f>IF(ROW()=4,"",C12-C11)</f>
        <v>0</v>
      </c>
      <c r="G12" s="8">
        <f>IF(ROW()=4,"",(C12-C11)/C11*100)</f>
        <v>0</v>
      </c>
      <c r="H12" s="9">
        <v>16.80545954438335</v>
      </c>
      <c r="I12" s="10">
        <v>64180.05</v>
      </c>
      <c r="J12" s="78">
        <v>11</v>
      </c>
      <c r="K12" s="12">
        <f>I12/SUM($I$4:$I$15)</f>
        <v>0</v>
      </c>
      <c r="L12" s="13">
        <f>IF(ROW()=4,"",I12-I11)</f>
        <v>0</v>
      </c>
      <c r="M12" s="8">
        <f>IF(ROW()=4,"",(I12-I11)/I11*100)</f>
        <v>0</v>
      </c>
    </row>
    <row r="13" spans="1:14">
      <c r="A13" s="3">
        <v>9</v>
      </c>
      <c r="B13" s="62" t="s">
        <v>127</v>
      </c>
      <c r="C13" s="5">
        <v>3797</v>
      </c>
      <c r="D13" s="30">
        <v>12</v>
      </c>
      <c r="E13" s="7">
        <f>C13/SUM($C$4:$C$15)</f>
        <v>0</v>
      </c>
      <c r="F13" s="8">
        <f>IF(ROW()=4,"",C13-C12)</f>
        <v>0</v>
      </c>
      <c r="G13" s="8">
        <f>IF(ROW()=4,"",(C13-C12)/C12*100)</f>
        <v>0</v>
      </c>
      <c r="H13" s="9">
        <v>16.86268106399789</v>
      </c>
      <c r="I13" s="10">
        <v>64027.6</v>
      </c>
      <c r="J13" s="31">
        <v>12</v>
      </c>
      <c r="K13" s="12">
        <f>I13/SUM($I$4:$I$15)</f>
        <v>0</v>
      </c>
      <c r="L13" s="13">
        <f>IF(ROW()=4,"",I13-I12)</f>
        <v>0</v>
      </c>
      <c r="M13" s="8">
        <f>IF(ROW()=4,"",(I13-I12)/I12*100)</f>
        <v>0</v>
      </c>
    </row>
    <row r="14" spans="1:14">
      <c r="A14" s="3">
        <v>10</v>
      </c>
      <c r="B14" s="62" t="s">
        <v>128</v>
      </c>
      <c r="C14" s="5">
        <v>4185</v>
      </c>
      <c r="D14" s="79">
        <v>4</v>
      </c>
      <c r="E14" s="7">
        <f>C14/SUM($C$4:$C$15)</f>
        <v>0</v>
      </c>
      <c r="F14" s="8">
        <f>IF(ROW()=4,"",C14-C13)</f>
        <v>0</v>
      </c>
      <c r="G14" s="8">
        <f>IF(ROW()=4,"",(C14-C13)/C13*100)</f>
        <v>0</v>
      </c>
      <c r="H14" s="9">
        <v>16.82087216248507</v>
      </c>
      <c r="I14" s="10">
        <v>70395.35000000001</v>
      </c>
      <c r="J14" s="80">
        <v>4</v>
      </c>
      <c r="K14" s="12">
        <f>I14/SUM($I$4:$I$15)</f>
        <v>0</v>
      </c>
      <c r="L14" s="13">
        <f>IF(ROW()=4,"",I14-I13)</f>
        <v>0</v>
      </c>
      <c r="M14" s="8">
        <f>IF(ROW()=4,"",(I14-I13)/I13*100)</f>
        <v>0</v>
      </c>
    </row>
    <row r="15" spans="1:14">
      <c r="A15" s="3">
        <v>11</v>
      </c>
      <c r="B15" s="62" t="s">
        <v>129</v>
      </c>
      <c r="C15" s="5">
        <v>3859</v>
      </c>
      <c r="D15" s="81">
        <v>10</v>
      </c>
      <c r="E15" s="7">
        <f>C15/SUM($C$4:$C$15)</f>
        <v>0</v>
      </c>
      <c r="F15" s="8">
        <f>IF(ROW()=4,"",C15-C14)</f>
        <v>0</v>
      </c>
      <c r="G15" s="8">
        <f>IF(ROW()=4,"",(C15-C14)/C14*100)</f>
        <v>0</v>
      </c>
      <c r="H15" s="9">
        <v>16.76629955947137</v>
      </c>
      <c r="I15" s="10">
        <v>64701.15</v>
      </c>
      <c r="J15" s="82">
        <v>10</v>
      </c>
      <c r="K15" s="12">
        <f>I15/SUM($I$4:$I$15)</f>
        <v>0</v>
      </c>
      <c r="L15" s="13">
        <f>IF(ROW()=4,"",I15-I14)</f>
        <v>0</v>
      </c>
      <c r="M15" s="8">
        <f>IF(ROW()=4,"",(I15-I14)/I14*100)</f>
        <v>0</v>
      </c>
    </row>
    <row r="16" spans="1:14">
      <c r="A16" s="3" t="s">
        <v>12</v>
      </c>
      <c r="B16" s="32"/>
      <c r="C16" s="33">
        <f>SUBTOTAL(9,C4:C15)</f>
        <v>0</v>
      </c>
      <c r="D16" s="32"/>
      <c r="E16" s="34">
        <f>SUBTOTAL(9,E4:E15)</f>
        <v>0</v>
      </c>
      <c r="F16" s="35">
        <f>SUBTOTAL(9,F4:F15)</f>
        <v>0</v>
      </c>
      <c r="G16" s="35">
        <f>SUBTOTAL(9,G4:G15)</f>
        <v>0</v>
      </c>
      <c r="H16" s="36">
        <f>SUBTOTAL(9,H4:H15)</f>
        <v>0</v>
      </c>
      <c r="I16" s="37">
        <f>SUBTOTAL(9,I4:I15)</f>
        <v>0</v>
      </c>
      <c r="J16" s="32"/>
      <c r="K16" s="34">
        <f>SUBTOTAL(9,K4:K15)</f>
        <v>0</v>
      </c>
      <c r="L16" s="38">
        <f>SUBTOTAL(9,L4:L15)</f>
        <v>0</v>
      </c>
      <c r="M16" s="35">
        <f>SUBTOTAL(9,M4:M15)</f>
        <v>0</v>
      </c>
    </row>
  </sheetData>
  <autoFilter ref="A3:M15"/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0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20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131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3" t="s">
        <v>132</v>
      </c>
      <c r="C4" s="5">
        <v>12234</v>
      </c>
      <c r="D4" s="16">
        <v>2</v>
      </c>
      <c r="E4" s="7">
        <f>C4/SUM($C$4:$C$7)</f>
        <v>0</v>
      </c>
      <c r="F4" s="8">
        <f>IF(ROW()=4,"",C4-C3)</f>
        <v>0</v>
      </c>
      <c r="G4" s="8">
        <f>IF(ROW()=4,"",(C4-C3)/C3*100)</f>
        <v>0</v>
      </c>
      <c r="H4" s="9">
        <v>16.78518881804806</v>
      </c>
      <c r="I4" s="10">
        <v>205350</v>
      </c>
      <c r="J4" s="19">
        <v>2</v>
      </c>
      <c r="K4" s="12">
        <f>I4/SUM($I$4:$I$7)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83" t="s">
        <v>133</v>
      </c>
      <c r="C5" s="5">
        <v>12331</v>
      </c>
      <c r="D5" s="20">
        <v>1</v>
      </c>
      <c r="E5" s="7">
        <f>C5/SUM($C$4:$C$7)</f>
        <v>0</v>
      </c>
      <c r="F5" s="8">
        <f>IF(ROW()=4,"",C5-C4)</f>
        <v>0</v>
      </c>
      <c r="G5" s="8">
        <f>IF(ROW()=4,"",(C5-C4)/C4*100)</f>
        <v>0</v>
      </c>
      <c r="H5" s="9">
        <v>16.89804152136891</v>
      </c>
      <c r="I5" s="10">
        <v>208369.75</v>
      </c>
      <c r="J5" s="11">
        <v>1</v>
      </c>
      <c r="K5" s="12">
        <f>I5/SUM($I$4:$I$7)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83" t="s">
        <v>134</v>
      </c>
      <c r="C6" s="5">
        <v>12214</v>
      </c>
      <c r="D6" s="22">
        <v>3</v>
      </c>
      <c r="E6" s="7">
        <f>C6/SUM($C$4:$C$7)</f>
        <v>0</v>
      </c>
      <c r="F6" s="8">
        <f>IF(ROW()=4,"",C6-C5)</f>
        <v>0</v>
      </c>
      <c r="G6" s="8">
        <f>IF(ROW()=4,"",(C6-C5)/C5*100)</f>
        <v>0</v>
      </c>
      <c r="H6" s="9">
        <v>16.78534468642541</v>
      </c>
      <c r="I6" s="10">
        <v>205016.2</v>
      </c>
      <c r="J6" s="25">
        <v>3</v>
      </c>
      <c r="K6" s="12">
        <f>I6/SUM($I$4:$I$7)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83" t="s">
        <v>135</v>
      </c>
      <c r="C7" s="5">
        <v>11841</v>
      </c>
      <c r="D7" s="30">
        <v>4</v>
      </c>
      <c r="E7" s="7">
        <f>C7/SUM($C$4:$C$7)</f>
        <v>0</v>
      </c>
      <c r="F7" s="8">
        <f>IF(ROW()=4,"",C7-C6)</f>
        <v>0</v>
      </c>
      <c r="G7" s="8">
        <f>IF(ROW()=4,"",(C7-C6)/C6*100)</f>
        <v>0</v>
      </c>
      <c r="H7" s="9">
        <v>16.81649353939701</v>
      </c>
      <c r="I7" s="10">
        <v>199124.1</v>
      </c>
      <c r="J7" s="31">
        <v>4</v>
      </c>
      <c r="K7" s="12">
        <f>I7/SUM($I$4:$I$7)</f>
        <v>0</v>
      </c>
      <c r="L7" s="13">
        <f>IF(ROW()=4,"",I7-I6)</f>
        <v>0</v>
      </c>
      <c r="M7" s="8">
        <f>IF(ROW()=4,"",(I7-I6)/I6*100)</f>
        <v>0</v>
      </c>
    </row>
    <row r="8" spans="1:14">
      <c r="A8" s="3" t="s">
        <v>12</v>
      </c>
      <c r="B8" s="32"/>
      <c r="C8" s="33">
        <f>SUBTOTAL(9,C4:C7)</f>
        <v>0</v>
      </c>
      <c r="D8" s="32"/>
      <c r="E8" s="34">
        <f>SUBTOTAL(9,E4:E7)</f>
        <v>0</v>
      </c>
      <c r="F8" s="35">
        <f>SUBTOTAL(9,F4:F7)</f>
        <v>0</v>
      </c>
      <c r="G8" s="35">
        <f>SUBTOTAL(9,G4:G7)</f>
        <v>0</v>
      </c>
      <c r="H8" s="36">
        <f>SUBTOTAL(9,H4:H7)</f>
        <v>0</v>
      </c>
      <c r="I8" s="37">
        <f>SUBTOTAL(9,I4:I7)</f>
        <v>0</v>
      </c>
      <c r="J8" s="32"/>
      <c r="K8" s="34">
        <f>SUBTOTAL(9,K4:K7)</f>
        <v>0</v>
      </c>
      <c r="L8" s="38">
        <f>SUBTOTAL(9,L4:L7)</f>
        <v>0</v>
      </c>
      <c r="M8" s="35">
        <f>SUBTOTAL(9,M4:M7)</f>
        <v>0</v>
      </c>
    </row>
  </sheetData>
  <autoFilter ref="A3:M7"/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.7109375" customWidth="1"/>
    <col min="2" max="2" width="16.7109375" customWidth="1"/>
    <col min="3" max="3" width="8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21.7109375" customWidth="1"/>
    <col min="9" max="9" width="20.7109375" customWidth="1"/>
    <col min="10" max="10" width="13.7109375" customWidth="1"/>
    <col min="11" max="12" width="22.7109375" customWidth="1"/>
    <col min="13" max="13" width="23.7109375" customWidth="1"/>
  </cols>
  <sheetData>
    <row r="1" spans="1:14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137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3" t="s">
        <v>138</v>
      </c>
      <c r="C4" s="5">
        <v>12234</v>
      </c>
      <c r="D4" s="16">
        <v>2</v>
      </c>
      <c r="E4" s="7">
        <f>C4/SUM($C$4:$C$7)</f>
        <v>0</v>
      </c>
      <c r="F4" s="8">
        <f>IF(ROW()=4,"",C4-C3)</f>
        <v>0</v>
      </c>
      <c r="G4" s="8">
        <f>IF(ROW()=4,"",(C4-C3)/C3*100)</f>
        <v>0</v>
      </c>
      <c r="H4" s="9">
        <v>16.78518881804806</v>
      </c>
      <c r="I4" s="10">
        <v>205350</v>
      </c>
      <c r="J4" s="19">
        <v>2</v>
      </c>
      <c r="K4" s="12">
        <f>I4/SUM($I$4:$I$7)</f>
        <v>0</v>
      </c>
      <c r="L4" s="13">
        <f>IF(ROW()=4,"",I4-I3)</f>
        <v>0</v>
      </c>
      <c r="M4" s="8">
        <f>IF(ROW()=4,"",(I4-I3)/I3*100)</f>
        <v>0</v>
      </c>
    </row>
    <row r="5" spans="1:14">
      <c r="A5" s="3">
        <v>1</v>
      </c>
      <c r="B5" s="83" t="s">
        <v>139</v>
      </c>
      <c r="C5" s="5">
        <v>12331</v>
      </c>
      <c r="D5" s="20">
        <v>1</v>
      </c>
      <c r="E5" s="7">
        <f>C5/SUM($C$4:$C$7)</f>
        <v>0</v>
      </c>
      <c r="F5" s="8">
        <f>IF(ROW()=4,"",C5-C4)</f>
        <v>0</v>
      </c>
      <c r="G5" s="8">
        <f>IF(ROW()=4,"",(C5-C4)/C4*100)</f>
        <v>0</v>
      </c>
      <c r="H5" s="9">
        <v>16.89804152136891</v>
      </c>
      <c r="I5" s="10">
        <v>208369.75</v>
      </c>
      <c r="J5" s="11">
        <v>1</v>
      </c>
      <c r="K5" s="12">
        <f>I5/SUM($I$4:$I$7)</f>
        <v>0</v>
      </c>
      <c r="L5" s="13">
        <f>IF(ROW()=4,"",I5-I4)</f>
        <v>0</v>
      </c>
      <c r="M5" s="8">
        <f>IF(ROW()=4,"",(I5-I4)/I4*100)</f>
        <v>0</v>
      </c>
    </row>
    <row r="6" spans="1:14">
      <c r="A6" s="3">
        <v>2</v>
      </c>
      <c r="B6" s="83" t="s">
        <v>140</v>
      </c>
      <c r="C6" s="5">
        <v>12214</v>
      </c>
      <c r="D6" s="22">
        <v>3</v>
      </c>
      <c r="E6" s="7">
        <f>C6/SUM($C$4:$C$7)</f>
        <v>0</v>
      </c>
      <c r="F6" s="8">
        <f>IF(ROW()=4,"",C6-C5)</f>
        <v>0</v>
      </c>
      <c r="G6" s="8">
        <f>IF(ROW()=4,"",(C6-C5)/C5*100)</f>
        <v>0</v>
      </c>
      <c r="H6" s="9">
        <v>16.78534468642541</v>
      </c>
      <c r="I6" s="10">
        <v>205016.2</v>
      </c>
      <c r="J6" s="25">
        <v>3</v>
      </c>
      <c r="K6" s="12">
        <f>I6/SUM($I$4:$I$7)</f>
        <v>0</v>
      </c>
      <c r="L6" s="13">
        <f>IF(ROW()=4,"",I6-I5)</f>
        <v>0</v>
      </c>
      <c r="M6" s="8">
        <f>IF(ROW()=4,"",(I6-I5)/I5*100)</f>
        <v>0</v>
      </c>
    </row>
    <row r="7" spans="1:14">
      <c r="A7" s="3">
        <v>3</v>
      </c>
      <c r="B7" s="83" t="s">
        <v>141</v>
      </c>
      <c r="C7" s="5">
        <v>11841</v>
      </c>
      <c r="D7" s="30">
        <v>4</v>
      </c>
      <c r="E7" s="7">
        <f>C7/SUM($C$4:$C$7)</f>
        <v>0</v>
      </c>
      <c r="F7" s="8">
        <f>IF(ROW()=4,"",C7-C6)</f>
        <v>0</v>
      </c>
      <c r="G7" s="8">
        <f>IF(ROW()=4,"",(C7-C6)/C6*100)</f>
        <v>0</v>
      </c>
      <c r="H7" s="9">
        <v>16.81649353939701</v>
      </c>
      <c r="I7" s="10">
        <v>199124.1</v>
      </c>
      <c r="J7" s="31">
        <v>4</v>
      </c>
      <c r="K7" s="12">
        <f>I7/SUM($I$4:$I$7)</f>
        <v>0</v>
      </c>
      <c r="L7" s="13">
        <f>IF(ROW()=4,"",I7-I6)</f>
        <v>0</v>
      </c>
      <c r="M7" s="8">
        <f>IF(ROW()=4,"",(I7-I6)/I6*100)</f>
        <v>0</v>
      </c>
    </row>
    <row r="8" spans="1:14">
      <c r="A8" s="3" t="s">
        <v>12</v>
      </c>
      <c r="B8" s="32"/>
      <c r="C8" s="33">
        <f>SUBTOTAL(9,C4:C7)</f>
        <v>0</v>
      </c>
      <c r="D8" s="32"/>
      <c r="E8" s="34">
        <f>SUBTOTAL(9,E4:E7)</f>
        <v>0</v>
      </c>
      <c r="F8" s="35">
        <f>SUBTOTAL(9,F4:F7)</f>
        <v>0</v>
      </c>
      <c r="G8" s="35">
        <f>SUBTOTAL(9,G4:G7)</f>
        <v>0</v>
      </c>
      <c r="H8" s="36">
        <f>SUBTOTAL(9,H4:H7)</f>
        <v>0</v>
      </c>
      <c r="I8" s="37">
        <f>SUBTOTAL(9,I4:I7)</f>
        <v>0</v>
      </c>
      <c r="J8" s="32"/>
      <c r="K8" s="34">
        <f>SUBTOTAL(9,K4:K7)</f>
        <v>0</v>
      </c>
      <c r="L8" s="38">
        <f>SUBTOTAL(9,L4:L7)</f>
        <v>0</v>
      </c>
      <c r="M8" s="35">
        <f>SUBTOTAL(9,M4:M7)</f>
        <v>0</v>
      </c>
    </row>
  </sheetData>
  <autoFilter ref="A3:M7"/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7.7109375" customWidth="1"/>
    <col min="3" max="3" width="8.7109375" customWidth="1"/>
    <col min="4" max="4" width="13.7109375" customWidth="1"/>
    <col min="5" max="5" width="12.7109375" customWidth="1"/>
    <col min="6" max="6" width="13.7109375" customWidth="1"/>
    <col min="7" max="7" width="17.7109375" customWidth="1"/>
    <col min="8" max="8" width="21.7109375" customWidth="1"/>
    <col min="9" max="9" width="14.7109375" customWidth="1"/>
    <col min="10" max="10" width="13.7109375" customWidth="1"/>
    <col min="11" max="11" width="18.7109375" customWidth="1"/>
    <col min="12" max="12" width="19.7109375" customWidth="1"/>
    <col min="13" max="13" width="23.7109375" customWidth="1"/>
  </cols>
  <sheetData>
    <row r="1" spans="1:14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s="2" customFormat="1">
      <c r="B3" s="3" t="s">
        <v>143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4">
      <c r="A4" s="3">
        <v>0</v>
      </c>
      <c r="B4" s="84" t="s">
        <v>144</v>
      </c>
      <c r="C4" s="5">
        <v>48620</v>
      </c>
      <c r="D4" s="20">
        <v>1</v>
      </c>
      <c r="E4" s="7">
        <f>C4/SUM($C$4:$C$4)</f>
        <v>0</v>
      </c>
      <c r="F4" s="8">
        <f>IF(ROW()=4,"",C4-C3)</f>
        <v>0</v>
      </c>
      <c r="G4" s="8">
        <f>IF(ROW()=4,"",(C4-C3)/C3*100)</f>
        <v>0</v>
      </c>
      <c r="H4" s="9">
        <v>16.82147367338544</v>
      </c>
      <c r="I4" s="10">
        <v>817860.05</v>
      </c>
      <c r="J4" s="11">
        <v>1</v>
      </c>
      <c r="K4" s="12">
        <f>I4/SUM($I$4:$I$4)</f>
        <v>0</v>
      </c>
      <c r="L4" s="13">
        <f>IF(ROW()=4,"",I4-I3)</f>
        <v>0</v>
      </c>
      <c r="M4" s="8">
        <f>IF(ROW()=4,"",(I4-I3)/I3*100)</f>
        <v>0</v>
      </c>
    </row>
    <row r="5" spans="1:14">
      <c r="A5" s="3" t="s">
        <v>12</v>
      </c>
      <c r="B5" s="32"/>
      <c r="C5" s="33">
        <f>SUBTOTAL(9,C4:C4)</f>
        <v>0</v>
      </c>
      <c r="D5" s="32"/>
      <c r="E5" s="34">
        <f>SUBTOTAL(9,E4:E4)</f>
        <v>0</v>
      </c>
      <c r="F5" s="35">
        <f>SUBTOTAL(9,F4:F4)</f>
        <v>0</v>
      </c>
      <c r="G5" s="35">
        <f>SUBTOTAL(9,G4:G4)</f>
        <v>0</v>
      </c>
      <c r="H5" s="36">
        <f>SUBTOTAL(9,H4:H4)</f>
        <v>0</v>
      </c>
      <c r="I5" s="37">
        <f>SUBTOTAL(9,I4:I4)</f>
        <v>0</v>
      </c>
      <c r="J5" s="32"/>
      <c r="K5" s="34">
        <f>SUBTOTAL(9,K4:K4)</f>
        <v>0</v>
      </c>
      <c r="L5" s="38">
        <f>SUBTOTAL(9,L4:L4)</f>
        <v>0</v>
      </c>
      <c r="M5" s="35">
        <f>SUBTOTAL(9,M4:M4)</f>
        <v>0</v>
      </c>
    </row>
  </sheetData>
  <autoFilter ref="A3:M4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Top 10 Pizza IDs (T S)</vt:lpstr>
      <vt:lpstr>Top 10 Pizza IDs (C)</vt:lpstr>
      <vt:lpstr>Bottom 10 Pizza IDs (T S)</vt:lpstr>
      <vt:lpstr>Bottom 10 Pizza IDs (C)</vt:lpstr>
      <vt:lpstr>Top 10 Pizza Type IDs (T S)</vt:lpstr>
      <vt:lpstr>Top 10 Pizza Type IDs (C)</vt:lpstr>
      <vt:lpstr>Bottom 10 Pizza Type IDs (T S)</vt:lpstr>
      <vt:lpstr>Bottom 10 Pizza Type IDs (C)</vt:lpstr>
      <vt:lpstr>Top 10 Names (T S)</vt:lpstr>
      <vt:lpstr>Top 10 Names (C)</vt:lpstr>
      <vt:lpstr>Bottom 10 Names (T S)</vt:lpstr>
      <vt:lpstr>Bottom 10 Names (C)</vt:lpstr>
      <vt:lpstr>Top Categories (T S)</vt:lpstr>
      <vt:lpstr>Top Sizes (T S)</vt:lpstr>
      <vt:lpstr>Top Days</vt:lpstr>
      <vt:lpstr>Top Months</vt:lpstr>
      <vt:lpstr>Top Quarters</vt:lpstr>
      <vt:lpstr>Top Quarter Labels</vt:lpstr>
      <vt:lpstr>Top 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2025-12-04T16:22:41Z</dcterms:created>
  <dcterms:modified xsi:type="dcterms:W3CDTF">2025-12-04T16:22:41Z</dcterms:modified>
</cp:coreProperties>
</file>