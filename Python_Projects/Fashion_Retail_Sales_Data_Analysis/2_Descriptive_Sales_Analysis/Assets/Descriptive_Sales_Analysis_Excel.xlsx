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yment Methods" sheetId="1" r:id="rId1"/>
    <sheet name="Top 10 Items" sheetId="2" r:id="rId2"/>
    <sheet name="Bottom 10 Items" sheetId="3" r:id="rId3"/>
    <sheet name="Top Review Ratings" sheetId="4" r:id="rId4"/>
    <sheet name="Top Days" sheetId="5" r:id="rId5"/>
    <sheet name="Top Months" sheetId="6" r:id="rId6"/>
    <sheet name="Top Quarters" sheetId="7" r:id="rId7"/>
    <sheet name="Top Quarter Labels" sheetId="8" r:id="rId8"/>
    <sheet name="Top Years" sheetId="9" r:id="rId9"/>
  </sheets>
  <definedNames>
    <definedName name="_xlnm._FilterDatabase" localSheetId="2" hidden="1">'Bottom 10 Items'!$A$3:$M$13</definedName>
    <definedName name="_xlnm._FilterDatabase" localSheetId="0" hidden="1">'Payment Methods'!$A$3:$M$5</definedName>
    <definedName name="_xlnm._FilterDatabase" localSheetId="1" hidden="1">'Top 10 Items'!$A$3:$M$13</definedName>
    <definedName name="_xlnm._FilterDatabase" localSheetId="4" hidden="1">'Top Days'!$A$3:$M$10</definedName>
    <definedName name="_xlnm._FilterDatabase" localSheetId="5" hidden="1">'Top Months'!$A$3:$M$15</definedName>
    <definedName name="_xlnm._FilterDatabase" localSheetId="7" hidden="1">'Top Quarter Labels'!$A$3:$M$7</definedName>
    <definedName name="_xlnm._FilterDatabase" localSheetId="6" hidden="1">'Top Quarters'!$A$3:$M$8</definedName>
    <definedName name="_xlnm._FilterDatabase" localSheetId="3" hidden="1">'Top Review Ratings'!$A$3:$M$8</definedName>
    <definedName name="_xlnm._FilterDatabase" localSheetId="8" hidden="1">'Top Years'!$A$3:$M$5</definedName>
  </definedNames>
  <calcPr calcId="124519" fullCalcOnLoad="1"/>
</workbook>
</file>

<file path=xl/sharedStrings.xml><?xml version="1.0" encoding="utf-8"?>
<sst xmlns="http://schemas.openxmlformats.org/spreadsheetml/2006/main" count="178" uniqueCount="81">
  <si>
    <t>payment_method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</si>
  <si>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</si>
  <si>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</si>
  <si>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</si>
  <si>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</si>
  <si>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</si>
  <si>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</si>
  <si>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</si>
  <si>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</si>
  <si>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</si>
  <si>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</si>
  <si>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</si>
  <si>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Total</t>
  </si>
  <si>
    <t>Credit Card</t>
  </si>
  <si>
    <t>Cash</t>
  </si>
  <si>
    <t>The Counts, Total Sales And Percentage Share By Payment Methods</t>
  </si>
  <si>
    <t>item_purchased</t>
  </si>
  <si>
    <t>Tunic</t>
  </si>
  <si>
    <t>Pajamas</t>
  </si>
  <si>
    <t>Shorts</t>
  </si>
  <si>
    <t>Jeans</t>
  </si>
  <si>
    <t>Handbag</t>
  </si>
  <si>
    <t>Boots</t>
  </si>
  <si>
    <t>Gloves</t>
  </si>
  <si>
    <t>Poncho</t>
  </si>
  <si>
    <t>Belt</t>
  </si>
  <si>
    <t>Slippers</t>
  </si>
  <si>
    <t>Top 10 Items Purchased By Counts Total Sales And Percentage Share</t>
  </si>
  <si>
    <t>Hat</t>
  </si>
  <si>
    <t>Polo Shirt</t>
  </si>
  <si>
    <t>Sunglasses</t>
  </si>
  <si>
    <t>Flannel Shirt</t>
  </si>
  <si>
    <t>Overalls</t>
  </si>
  <si>
    <t>Jumpsuit</t>
  </si>
  <si>
    <t>Sandals</t>
  </si>
  <si>
    <t>Tie</t>
  </si>
  <si>
    <t>Dress</t>
  </si>
  <si>
    <t>Sun Hat</t>
  </si>
  <si>
    <t>Bottom 10 Items Purchased By Counts Total Sales And Percentage Share</t>
  </si>
  <si>
    <t>review_rating</t>
  </si>
  <si>
    <t>Top Review Ratings By Counts Total Sales And Percentage Share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</si>
  <si>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</si>
  <si>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</si>
  <si>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</si>
  <si>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</si>
  <si>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</si>
  <si>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</si>
  <si>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</si>
  <si>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</si>
  <si>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Counts Total Sales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</si>
  <si>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</si>
  <si>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</si>
  <si>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</si>
  <si>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</si>
  <si>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</si>
  <si>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</si>
  <si>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</si>
  <si>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</si>
  <si>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</si>
  <si>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</si>
  <si>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</si>
  <si>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</si>
  <si>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</si>
  <si>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Counts Total Sales And Percentage Share</t>
  </si>
  <si>
    <t>quarter</t>
  </si>
  <si>
    <t>2022Q4</t>
  </si>
  <si>
    <t>2023Q1</t>
  </si>
  <si>
    <t>2023Q2</t>
  </si>
  <si>
    <t>2023Q3</t>
  </si>
  <si>
    <t>2023Q4</t>
  </si>
  <si>
    <t>Top Quarters By Counts Total Sales And Percentage Share</t>
  </si>
  <si>
    <t>quarter_label</t>
  </si>
  <si>
    <t>Q1</t>
  </si>
  <si>
    <t>Q2</t>
  </si>
  <si>
    <t>Q3</t>
  </si>
  <si>
    <t>Q4</t>
  </si>
  <si>
    <t>Top Quarter Labels By Counts Total Sales And Percentage Share</t>
  </si>
  <si>
    <t>year</t>
  </si>
  <si>
    <t>2022</t>
  </si>
  <si>
    <t>2023</t>
  </si>
  <si>
    <t>Top Years By Counts Total Sales And Percentage Share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</si>
</sst>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0.00%"/>
    <numFmt numFmtId="166" formatCode="0.00"/>
    <numFmt numFmtId="167" formatCode="$#,##0"/>
  </numFmts>
  <fonts count="18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  <font>
      <sz val="11"/>
      <color rgb="FF000000"/>
      <name val="Calibri"/>
      <family val="2"/>
      <scheme val="minor"/>
    </font>
    <font>
      <sz val="11"/>
      <color rgb="FFF1F1F1"/>
      <name val="Calibri"/>
      <family val="2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CD853F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E5E0AF"/>
        <bgColor indexed="64"/>
      </patternFill>
    </fill>
    <fill>
      <patternFill patternType="solid">
        <fgColor rgb="FF9C6565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714747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CDA28F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D9C3A0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F0F0CE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BE7C7C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FFF7FB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0D1E6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73A9CF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056FAF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023858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10" fillId="9" borderId="2" xfId="0" applyFont="1" applyFill="1" applyBorder="1" applyAlignment="1">
      <alignment horizontal="justify"/>
    </xf>
    <xf numFmtId="0" fontId="10" fillId="10" borderId="2" xfId="0" applyFont="1" applyFill="1" applyBorder="1" applyAlignment="1">
      <alignment horizontal="justify"/>
    </xf>
    <xf numFmtId="0" fontId="3" fillId="11" borderId="2" xfId="0" applyFont="1" applyFill="1" applyBorder="1" applyAlignment="1">
      <alignment horizontal="justify"/>
    </xf>
    <xf numFmtId="164" fontId="11" fillId="12" borderId="0" xfId="0" applyNumberFormat="1" applyFont="1" applyFill="1" applyAlignment="1">
      <alignment horizontal="justify"/>
    </xf>
    <xf numFmtId="165" fontId="12" fillId="12" borderId="0" xfId="0" applyNumberFormat="1" applyFont="1" applyFill="1" applyAlignment="1">
      <alignment horizontal="justify"/>
    </xf>
    <xf numFmtId="166" fontId="13" fillId="12" borderId="0" xfId="0" applyNumberFormat="1" applyFont="1" applyFill="1" applyAlignment="1">
      <alignment horizontal="justify"/>
    </xf>
    <xf numFmtId="167" fontId="14" fillId="12" borderId="0" xfId="0" applyNumberFormat="1" applyFont="1" applyFill="1" applyAlignment="1">
      <alignment horizontal="justify"/>
    </xf>
    <xf numFmtId="167" fontId="15" fillId="12" borderId="0" xfId="0" applyNumberFormat="1" applyFont="1" applyFill="1" applyAlignment="1">
      <alignment horizontal="justify"/>
    </xf>
    <xf numFmtId="167" fontId="13" fillId="12" borderId="0" xfId="0" applyNumberFormat="1" applyFont="1" applyFill="1" applyAlignment="1">
      <alignment horizontal="justify"/>
    </xf>
    <xf numFmtId="0" fontId="3" fillId="13" borderId="2" xfId="0" applyFont="1" applyFill="1" applyBorder="1" applyAlignment="1">
      <alignment horizontal="justify"/>
    </xf>
    <xf numFmtId="0" fontId="10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5" fillId="17" borderId="2" xfId="0" applyFont="1" applyFill="1" applyBorder="1" applyAlignment="1">
      <alignment horizontal="justify"/>
    </xf>
    <xf numFmtId="0" fontId="5" fillId="18" borderId="2" xfId="0" applyFont="1" applyFill="1" applyBorder="1" applyAlignment="1">
      <alignment horizontal="justify"/>
    </xf>
    <xf numFmtId="0" fontId="5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5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10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5" fillId="26" borderId="2" xfId="0" applyFont="1" applyFill="1" applyBorder="1" applyAlignment="1">
      <alignment horizontal="justify"/>
    </xf>
    <xf numFmtId="0" fontId="10" fillId="27" borderId="2" xfId="0" applyFont="1" applyFill="1" applyBorder="1" applyAlignment="1">
      <alignment horizontal="justify"/>
    </xf>
    <xf numFmtId="0" fontId="10" fillId="28" borderId="2" xfId="0" applyFont="1" applyFill="1" applyBorder="1" applyAlignment="1">
      <alignment horizontal="justify"/>
    </xf>
    <xf numFmtId="0" fontId="5" fillId="29" borderId="2" xfId="0" applyFont="1" applyFill="1" applyBorder="1" applyAlignment="1">
      <alignment horizontal="justify"/>
    </xf>
    <xf numFmtId="0" fontId="5" fillId="30" borderId="2" xfId="0" applyFont="1" applyFill="1" applyBorder="1" applyAlignment="1">
      <alignment horizontal="justify"/>
    </xf>
    <xf numFmtId="0" fontId="5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10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6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6" fillId="37" borderId="2" xfId="0" applyFont="1" applyFill="1" applyBorder="1" applyAlignment="1">
      <alignment horizontal="justify"/>
    </xf>
    <xf numFmtId="0" fontId="5" fillId="38" borderId="2" xfId="0" applyFont="1" applyFill="1" applyBorder="1" applyAlignment="1">
      <alignment horizontal="justify"/>
    </xf>
    <xf numFmtId="0" fontId="17" fillId="39" borderId="2" xfId="0" applyFont="1" applyFill="1" applyBorder="1" applyAlignment="1">
      <alignment horizontal="justify"/>
    </xf>
    <xf numFmtId="0" fontId="10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17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17" fillId="44" borderId="2" xfId="0" applyFont="1" applyFill="1" applyBorder="1" applyAlignment="1">
      <alignment horizontal="justify"/>
    </xf>
    <xf numFmtId="0" fontId="10" fillId="45" borderId="2" xfId="0" applyFont="1" applyFill="1" applyBorder="1" applyAlignment="1">
      <alignment horizontal="justify"/>
    </xf>
    <xf numFmtId="0" fontId="3" fillId="46" borderId="2" xfId="0" applyFont="1" applyFill="1" applyBorder="1" applyAlignment="1">
      <alignment horizontal="justify"/>
    </xf>
    <xf numFmtId="0" fontId="5" fillId="47" borderId="2" xfId="0" applyFont="1" applyFill="1" applyBorder="1" applyAlignment="1">
      <alignment horizontal="justify"/>
    </xf>
    <xf numFmtId="0" fontId="10" fillId="48" borderId="2" xfId="0" applyFont="1" applyFill="1" applyBorder="1" applyAlignment="1">
      <alignment horizontal="justify"/>
    </xf>
    <xf numFmtId="0" fontId="5" fillId="49" borderId="2" xfId="0" applyFont="1" applyFill="1" applyBorder="1" applyAlignment="1">
      <alignment horizontal="justify"/>
    </xf>
    <xf numFmtId="0" fontId="10" fillId="50" borderId="2" xfId="0" applyFont="1" applyFill="1" applyBorder="1" applyAlignment="1">
      <alignment horizontal="justify"/>
    </xf>
    <xf numFmtId="0" fontId="3" fillId="51" borderId="2" xfId="0" applyFont="1" applyFill="1" applyBorder="1" applyAlignment="1">
      <alignment horizontal="justify"/>
    </xf>
    <xf numFmtId="0" fontId="10" fillId="52" borderId="2" xfId="0" applyFont="1" applyFill="1" applyBorder="1" applyAlignment="1">
      <alignment horizontal="justify"/>
    </xf>
    <xf numFmtId="0" fontId="10" fillId="53" borderId="2" xfId="0" applyFont="1" applyFill="1" applyBorder="1" applyAlignment="1">
      <alignment horizontal="justify"/>
    </xf>
    <xf numFmtId="0" fontId="10" fillId="54" borderId="2" xfId="0" applyFont="1" applyFill="1" applyBorder="1" applyAlignment="1">
      <alignment horizontal="justify"/>
    </xf>
    <xf numFmtId="0" fontId="10" fillId="55" borderId="2" xfId="0" applyFont="1" applyFill="1" applyBorder="1" applyAlignment="1">
      <alignment horizontal="justify"/>
    </xf>
    <xf numFmtId="0" fontId="10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5" fillId="61" borderId="2" xfId="0" applyFont="1" applyFill="1" applyBorder="1" applyAlignment="1">
      <alignment horizontal="justify"/>
    </xf>
    <xf numFmtId="0" fontId="10" fillId="62" borderId="2" xfId="0" applyFont="1" applyFill="1" applyBorder="1" applyAlignment="1">
      <alignment horizontal="justify"/>
    </xf>
    <xf numFmtId="0" fontId="5" fillId="63" borderId="2" xfId="0" applyFont="1" applyFill="1" applyBorder="1" applyAlignment="1">
      <alignment horizontal="justify"/>
    </xf>
    <xf numFmtId="0" fontId="5" fillId="64" borderId="2" xfId="0" applyFont="1" applyFill="1" applyBorder="1" applyAlignment="1">
      <alignment horizontal="justify"/>
    </xf>
    <xf numFmtId="0" fontId="10" fillId="65" borderId="2" xfId="0" applyFont="1" applyFill="1" applyBorder="1" applyAlignment="1">
      <alignment horizontal="justify"/>
    </xf>
    <xf numFmtId="0" fontId="5" fillId="66" borderId="2" xfId="0" applyFont="1" applyFill="1" applyBorder="1" applyAlignment="1">
      <alignment horizontal="justify"/>
    </xf>
    <xf numFmtId="0" fontId="5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10" fillId="70" borderId="2" xfId="0" applyFont="1" applyFill="1" applyBorder="1" applyAlignment="1">
      <alignment horizontal="justify"/>
    </xf>
    <xf numFmtId="0" fontId="5" fillId="71" borderId="2" xfId="0" applyFont="1" applyFill="1" applyBorder="1" applyAlignment="1">
      <alignment horizontal="justify"/>
    </xf>
    <xf numFmtId="0" fontId="3" fillId="72" borderId="2" xfId="0" applyFont="1" applyFill="1" applyBorder="1" applyAlignment="1">
      <alignment horizontal="justify"/>
    </xf>
    <xf numFmtId="0" fontId="3" fillId="73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1.7109375" customWidth="1"/>
    <col min="8" max="8" width="20.7109375" customWidth="1"/>
    <col min="9" max="9" width="14.7109375" customWidth="1"/>
    <col min="10" max="10" width="13.7109375" customWidth="1"/>
    <col min="11" max="11" width="21.7109375" customWidth="1"/>
    <col min="12" max="12" width="19.7109375" customWidth="1"/>
    <col min="13" max="13" width="23.7109375" customWidth="1"/>
  </cols>
  <sheetData>
    <row r="1" spans="1:14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13</v>
      </c>
      <c r="C4" s="5">
        <v>1770</v>
      </c>
      <c r="D4" s="6">
        <v>1</v>
      </c>
      <c r="E4" s="7">
        <f>C4/SUM($C$4:C$5)</f>
        <v>0</v>
      </c>
      <c r="F4" s="8">
        <f>IF(ROW()=4,"",C4-C3)</f>
        <v>0</v>
      </c>
      <c r="G4" s="8">
        <f>IF(ROW()=4,"",(C4-C3)/C3*100)</f>
        <v>0</v>
      </c>
      <c r="H4" s="9">
        <v>150.3276836158192</v>
      </c>
      <c r="I4" s="10">
        <v>266080</v>
      </c>
      <c r="J4" s="11">
        <v>1</v>
      </c>
      <c r="K4" s="12">
        <f>I4/SUM(I$4:I$5)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4" t="s">
        <v>14</v>
      </c>
      <c r="C5" s="5">
        <v>1630</v>
      </c>
      <c r="D5" s="14">
        <v>2</v>
      </c>
      <c r="E5" s="7">
        <f>C5/SUM($C$4:C$5)</f>
        <v>0</v>
      </c>
      <c r="F5" s="8">
        <f>IF(ROW()=4,"",C5-C4)</f>
        <v>0</v>
      </c>
      <c r="G5" s="8">
        <f>IF(ROW()=4,"",(C5-C4)/C4*100)</f>
        <v>0</v>
      </c>
      <c r="H5" s="9">
        <v>143.6521472392638</v>
      </c>
      <c r="I5" s="10">
        <v>234153</v>
      </c>
      <c r="J5" s="15">
        <v>2</v>
      </c>
      <c r="K5" s="12">
        <f>I5/SUM(I$4:I$5)</f>
        <v>0</v>
      </c>
      <c r="L5" s="13">
        <f>IF(ROW()=4,"",H5-H4)</f>
        <v>0</v>
      </c>
      <c r="M5" s="8">
        <f>IF(ROW()=4,"",(H5-H4)/H4*100)</f>
        <v>0</v>
      </c>
    </row>
    <row r="6" spans="1:14">
      <c r="A6" s="3" t="s">
        <v>12</v>
      </c>
      <c r="B6" s="16"/>
      <c r="C6" s="17">
        <f>SUBTOTAL(9,C4:C5)</f>
        <v>0</v>
      </c>
      <c r="D6" s="16"/>
      <c r="E6" s="18">
        <f>SUBTOTAL(9,E4:E5)</f>
        <v>0</v>
      </c>
      <c r="F6" s="19">
        <f>SUBTOTAL(9,F4:F5)</f>
        <v>0</v>
      </c>
      <c r="G6" s="19">
        <f>SUBTOTAL(9,G4:G5)</f>
        <v>0</v>
      </c>
      <c r="H6" s="20">
        <f>SUBTOTAL(9,H4:H5)</f>
        <v>0</v>
      </c>
      <c r="I6" s="21">
        <f>SUBTOTAL(9,I4:I5)</f>
        <v>0</v>
      </c>
      <c r="J6" s="16"/>
      <c r="K6" s="18">
        <f>SUBTOTAL(9,K4:K5)</f>
        <v>0</v>
      </c>
      <c r="L6" s="22">
        <f>SUBTOTAL(9,L4:L5)</f>
        <v>0</v>
      </c>
      <c r="M6" s="19">
        <f>SUBTOTAL(9,M4:M5)</f>
        <v>0</v>
      </c>
    </row>
  </sheetData>
  <autoFilter ref="A3:M5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4.7109375" customWidth="1"/>
  </cols>
  <sheetData>
    <row r="1" spans="1:14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23" t="s">
        <v>17</v>
      </c>
      <c r="C4" s="5">
        <v>61</v>
      </c>
      <c r="D4" s="24">
        <v>7</v>
      </c>
      <c r="E4" s="7">
        <f>C4/SUM($C$4:C$13)</f>
        <v>0</v>
      </c>
      <c r="F4" s="8">
        <f>IF(ROW()=4,"",C4-C3)</f>
        <v>0</v>
      </c>
      <c r="G4" s="8">
        <f>IF(ROW()=4,"",(C4-C3)/C3*100)</f>
        <v>0</v>
      </c>
      <c r="H4" s="9">
        <v>297.655737704918</v>
      </c>
      <c r="I4" s="10">
        <v>18157</v>
      </c>
      <c r="J4" s="11">
        <v>1</v>
      </c>
      <c r="K4" s="12">
        <f>I4/SUM(I$4:I$13)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23" t="s">
        <v>18</v>
      </c>
      <c r="C5" s="5">
        <v>81</v>
      </c>
      <c r="D5" s="25">
        <v>3</v>
      </c>
      <c r="E5" s="7">
        <f>C5/SUM($C$4:C$13)</f>
        <v>0</v>
      </c>
      <c r="F5" s="8">
        <f>IF(ROW()=4,"",C5-C4)</f>
        <v>0</v>
      </c>
      <c r="G5" s="8">
        <f>IF(ROW()=4,"",(C5-C4)/C4*100)</f>
        <v>0</v>
      </c>
      <c r="H5" s="9">
        <v>180.2962962962963</v>
      </c>
      <c r="I5" s="10">
        <v>14604</v>
      </c>
      <c r="J5" s="26">
        <v>2</v>
      </c>
      <c r="K5" s="12">
        <f>I5/SUM(I$4:I$13)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23" t="s">
        <v>19</v>
      </c>
      <c r="C6" s="5">
        <v>87</v>
      </c>
      <c r="D6" s="27">
        <v>2</v>
      </c>
      <c r="E6" s="7">
        <f>C6/SUM($C$4:C$13)</f>
        <v>0</v>
      </c>
      <c r="F6" s="8">
        <f>IF(ROW()=4,"",C6-C5)</f>
        <v>0</v>
      </c>
      <c r="G6" s="8">
        <f>IF(ROW()=4,"",(C6-C5)/C5*100)</f>
        <v>0</v>
      </c>
      <c r="H6" s="9">
        <v>161.4252873563218</v>
      </c>
      <c r="I6" s="10">
        <v>14044</v>
      </c>
      <c r="J6" s="28">
        <v>3</v>
      </c>
      <c r="K6" s="12">
        <f>I6/SUM(I$4:I$13)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23" t="s">
        <v>20</v>
      </c>
      <c r="C7" s="5">
        <v>58</v>
      </c>
      <c r="D7" s="14">
        <v>9.5</v>
      </c>
      <c r="E7" s="7">
        <f>C7/SUM($C$4:C$13)</f>
        <v>0</v>
      </c>
      <c r="F7" s="8">
        <f>IF(ROW()=4,"",C7-C6)</f>
        <v>0</v>
      </c>
      <c r="G7" s="8">
        <f>IF(ROW()=4,"",(C7-C6)/C6*100)</f>
        <v>0</v>
      </c>
      <c r="H7" s="9">
        <v>241.2931034482759</v>
      </c>
      <c r="I7" s="10">
        <v>13995</v>
      </c>
      <c r="J7" s="29">
        <v>4</v>
      </c>
      <c r="K7" s="12">
        <f>I7/SUM(I$4:I$13)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23" t="s">
        <v>21</v>
      </c>
      <c r="C8" s="5">
        <v>72</v>
      </c>
      <c r="D8" s="30">
        <v>5</v>
      </c>
      <c r="E8" s="7">
        <f>C8/SUM($C$4:C$13)</f>
        <v>0</v>
      </c>
      <c r="F8" s="8">
        <f>IF(ROW()=4,"",C8-C7)</f>
        <v>0</v>
      </c>
      <c r="G8" s="8">
        <f>IF(ROW()=4,"",(C8-C7)/C7*100)</f>
        <v>0</v>
      </c>
      <c r="H8" s="9">
        <v>194.3472222222222</v>
      </c>
      <c r="I8" s="10">
        <v>13993</v>
      </c>
      <c r="J8" s="31">
        <v>5</v>
      </c>
      <c r="K8" s="12">
        <f>I8/SUM(I$4:I$13)</f>
        <v>0</v>
      </c>
      <c r="L8" s="13">
        <f>IF(ROW()=4,"",H8-H7)</f>
        <v>0</v>
      </c>
      <c r="M8" s="8">
        <f>IF(ROW()=4,"",(H8-H7)/H7*100)</f>
        <v>0</v>
      </c>
    </row>
    <row r="9" spans="1:14">
      <c r="A9" s="3">
        <v>5</v>
      </c>
      <c r="B9" s="23" t="s">
        <v>22</v>
      </c>
      <c r="C9" s="5">
        <v>65</v>
      </c>
      <c r="D9" s="32">
        <v>6</v>
      </c>
      <c r="E9" s="7">
        <f>C9/SUM($C$4:C$13)</f>
        <v>0</v>
      </c>
      <c r="F9" s="8">
        <f>IF(ROW()=4,"",C9-C8)</f>
        <v>0</v>
      </c>
      <c r="G9" s="8">
        <f>IF(ROW()=4,"",(C9-C8)/C8*100)</f>
        <v>0</v>
      </c>
      <c r="H9" s="9">
        <v>203.3846153846154</v>
      </c>
      <c r="I9" s="10">
        <v>13220</v>
      </c>
      <c r="J9" s="33">
        <v>6</v>
      </c>
      <c r="K9" s="12">
        <f>I9/SUM(I$4:I$13)</f>
        <v>0</v>
      </c>
      <c r="L9" s="13">
        <f>IF(ROW()=4,"",H9-H8)</f>
        <v>0</v>
      </c>
      <c r="M9" s="8">
        <f>IF(ROW()=4,"",(H9-H8)/H8*100)</f>
        <v>0</v>
      </c>
    </row>
    <row r="10" spans="1:14">
      <c r="A10" s="3">
        <v>6</v>
      </c>
      <c r="B10" s="23" t="s">
        <v>23</v>
      </c>
      <c r="C10" s="5">
        <v>59</v>
      </c>
      <c r="D10" s="34">
        <v>8</v>
      </c>
      <c r="E10" s="7">
        <f>C10/SUM($C$4:C$13)</f>
        <v>0</v>
      </c>
      <c r="F10" s="8">
        <f>IF(ROW()=4,"",C10-C9)</f>
        <v>0</v>
      </c>
      <c r="G10" s="8">
        <f>IF(ROW()=4,"",(C10-C9)/C9*100)</f>
        <v>0</v>
      </c>
      <c r="H10" s="9">
        <v>220.4237288135593</v>
      </c>
      <c r="I10" s="10">
        <v>13005</v>
      </c>
      <c r="J10" s="35">
        <v>7</v>
      </c>
      <c r="K10" s="12">
        <f>I10/SUM(I$4:I$13)</f>
        <v>0</v>
      </c>
      <c r="L10" s="13">
        <f>IF(ROW()=4,"",H10-H9)</f>
        <v>0</v>
      </c>
      <c r="M10" s="8">
        <f>IF(ROW()=4,"",(H10-H9)/H9*100)</f>
        <v>0</v>
      </c>
    </row>
    <row r="11" spans="1:14">
      <c r="A11" s="3">
        <v>7</v>
      </c>
      <c r="B11" s="23" t="s">
        <v>24</v>
      </c>
      <c r="C11" s="5">
        <v>73</v>
      </c>
      <c r="D11" s="36">
        <v>4</v>
      </c>
      <c r="E11" s="7">
        <f>C11/SUM($C$4:C$13)</f>
        <v>0</v>
      </c>
      <c r="F11" s="8">
        <f>IF(ROW()=4,"",C11-C10)</f>
        <v>0</v>
      </c>
      <c r="G11" s="8">
        <f>IF(ROW()=4,"",(C11-C10)/C10*100)</f>
        <v>0</v>
      </c>
      <c r="H11" s="9">
        <v>174.7671232876712</v>
      </c>
      <c r="I11" s="10">
        <v>12758</v>
      </c>
      <c r="J11" s="37">
        <v>8</v>
      </c>
      <c r="K11" s="12">
        <f>I11/SUM(I$4:I$13)</f>
        <v>0</v>
      </c>
      <c r="L11" s="13">
        <f>IF(ROW()=4,"",H11-H10)</f>
        <v>0</v>
      </c>
      <c r="M11" s="8">
        <f>IF(ROW()=4,"",(H11-H10)/H10*100)</f>
        <v>0</v>
      </c>
    </row>
    <row r="12" spans="1:14">
      <c r="A12" s="3">
        <v>8</v>
      </c>
      <c r="B12" s="23" t="s">
        <v>25</v>
      </c>
      <c r="C12" s="5">
        <v>90</v>
      </c>
      <c r="D12" s="6">
        <v>1</v>
      </c>
      <c r="E12" s="7">
        <f>C12/SUM($C$4:C$13)</f>
        <v>0</v>
      </c>
      <c r="F12" s="8">
        <f>IF(ROW()=4,"",C12-C11)</f>
        <v>0</v>
      </c>
      <c r="G12" s="8">
        <f>IF(ROW()=4,"",(C12-C11)/C11*100)</f>
        <v>0</v>
      </c>
      <c r="H12" s="9">
        <v>141.3777777777778</v>
      </c>
      <c r="I12" s="10">
        <v>12724</v>
      </c>
      <c r="J12" s="38">
        <v>9</v>
      </c>
      <c r="K12" s="12">
        <f>I12/SUM(I$4:I$13)</f>
        <v>0</v>
      </c>
      <c r="L12" s="13">
        <f>IF(ROW()=4,"",H12-H11)</f>
        <v>0</v>
      </c>
      <c r="M12" s="8">
        <f>IF(ROW()=4,"",(H12-H11)/H11*100)</f>
        <v>0</v>
      </c>
    </row>
    <row r="13" spans="1:14">
      <c r="A13" s="3">
        <v>9</v>
      </c>
      <c r="B13" s="23" t="s">
        <v>26</v>
      </c>
      <c r="C13" s="5">
        <v>58</v>
      </c>
      <c r="D13" s="14">
        <v>9.5</v>
      </c>
      <c r="E13" s="7">
        <f>C13/SUM($C$4:C$13)</f>
        <v>0</v>
      </c>
      <c r="F13" s="8">
        <f>IF(ROW()=4,"",C13-C12)</f>
        <v>0</v>
      </c>
      <c r="G13" s="8">
        <f>IF(ROW()=4,"",(C13-C12)/C12*100)</f>
        <v>0</v>
      </c>
      <c r="H13" s="9">
        <v>217.3965517241379</v>
      </c>
      <c r="I13" s="10">
        <v>12609</v>
      </c>
      <c r="J13" s="15">
        <v>10</v>
      </c>
      <c r="K13" s="12">
        <f>I13/SUM(I$4:I$13)</f>
        <v>0</v>
      </c>
      <c r="L13" s="13">
        <f>IF(ROW()=4,"",H13-H12)</f>
        <v>0</v>
      </c>
      <c r="M13" s="8">
        <f>IF(ROW()=4,"",(H13-H12)/H12*100)</f>
        <v>0</v>
      </c>
    </row>
    <row r="14" spans="1:14">
      <c r="A14" s="3" t="s">
        <v>12</v>
      </c>
      <c r="B14" s="16"/>
      <c r="C14" s="17">
        <f>SUBTOTAL(9,C4:C13)</f>
        <v>0</v>
      </c>
      <c r="D14" s="16"/>
      <c r="E14" s="18">
        <f>SUBTOTAL(9,E4:E13)</f>
        <v>0</v>
      </c>
      <c r="F14" s="19">
        <f>SUBTOTAL(9,F4:F13)</f>
        <v>0</v>
      </c>
      <c r="G14" s="19">
        <f>SUBTOTAL(9,G4:G13)</f>
        <v>0</v>
      </c>
      <c r="H14" s="20">
        <f>SUBTOTAL(9,H4:H13)</f>
        <v>0</v>
      </c>
      <c r="I14" s="21">
        <f>SUBTOTAL(9,I4:I13)</f>
        <v>0</v>
      </c>
      <c r="J14" s="16"/>
      <c r="K14" s="18">
        <f>SUBTOTAL(9,K4:K13)</f>
        <v>0</v>
      </c>
      <c r="L14" s="22">
        <f>SUBTOTAL(9,L4:L13)</f>
        <v>0</v>
      </c>
      <c r="M14" s="19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4.7109375" customWidth="1"/>
  </cols>
  <sheetData>
    <row r="1" spans="1:14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40</v>
      </c>
      <c r="B4" s="23" t="s">
        <v>28</v>
      </c>
      <c r="C4" s="5">
        <v>68</v>
      </c>
      <c r="D4" s="6">
        <v>1</v>
      </c>
      <c r="E4" s="7">
        <f>C4/SUM($C$4:C$13)</f>
        <v>0</v>
      </c>
      <c r="F4" s="8">
        <f>IF(ROW()=4,"",C4-C3)</f>
        <v>0</v>
      </c>
      <c r="G4" s="8">
        <f>IF(ROW()=4,"",(C4-C3)/C3*100)</f>
        <v>0</v>
      </c>
      <c r="H4" s="9">
        <v>104.9852941176471</v>
      </c>
      <c r="I4" s="10">
        <v>7139</v>
      </c>
      <c r="J4" s="11">
        <v>1</v>
      </c>
      <c r="K4" s="12">
        <f>I4/SUM(I$4:I$13)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41</v>
      </c>
      <c r="B5" s="23" t="s">
        <v>29</v>
      </c>
      <c r="C5" s="5">
        <v>59</v>
      </c>
      <c r="D5" s="39">
        <v>5</v>
      </c>
      <c r="E5" s="7">
        <f>C5/SUM($C$4:C$13)</f>
        <v>0</v>
      </c>
      <c r="F5" s="8">
        <f>IF(ROW()=4,"",C5-C4)</f>
        <v>0</v>
      </c>
      <c r="G5" s="8">
        <f>IF(ROW()=4,"",(C5-C4)/C4*100)</f>
        <v>0</v>
      </c>
      <c r="H5" s="9">
        <v>111.0677966101695</v>
      </c>
      <c r="I5" s="10">
        <v>6553</v>
      </c>
      <c r="J5" s="26">
        <v>2</v>
      </c>
      <c r="K5" s="12">
        <f>I5/SUM(I$4:I$13)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42</v>
      </c>
      <c r="B6" s="23" t="s">
        <v>30</v>
      </c>
      <c r="C6" s="5">
        <v>67</v>
      </c>
      <c r="D6" s="40">
        <v>2</v>
      </c>
      <c r="E6" s="7">
        <f>C6/SUM($C$4:C$13)</f>
        <v>0</v>
      </c>
      <c r="F6" s="8">
        <f>IF(ROW()=4,"",C6-C5)</f>
        <v>0</v>
      </c>
      <c r="G6" s="8">
        <f>IF(ROW()=4,"",(C6-C5)/C5*100)</f>
        <v>0</v>
      </c>
      <c r="H6" s="9">
        <v>97.77611940298507</v>
      </c>
      <c r="I6" s="10">
        <v>6551</v>
      </c>
      <c r="J6" s="28">
        <v>3</v>
      </c>
      <c r="K6" s="12">
        <f>I6/SUM(I$4:I$13)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43</v>
      </c>
      <c r="B7" s="23" t="s">
        <v>31</v>
      </c>
      <c r="C7" s="5">
        <v>63</v>
      </c>
      <c r="D7" s="41">
        <v>3</v>
      </c>
      <c r="E7" s="7">
        <f>C7/SUM($C$4:C$13)</f>
        <v>0</v>
      </c>
      <c r="F7" s="8">
        <f>IF(ROW()=4,"",C7-C6)</f>
        <v>0</v>
      </c>
      <c r="G7" s="8">
        <f>IF(ROW()=4,"",(C7-C6)/C6*100)</f>
        <v>0</v>
      </c>
      <c r="H7" s="9">
        <v>103.4920634920635</v>
      </c>
      <c r="I7" s="10">
        <v>6520</v>
      </c>
      <c r="J7" s="29">
        <v>4</v>
      </c>
      <c r="K7" s="12">
        <f>I7/SUM(I$4:I$13)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44</v>
      </c>
      <c r="B8" s="23" t="s">
        <v>32</v>
      </c>
      <c r="C8" s="5">
        <v>61</v>
      </c>
      <c r="D8" s="42">
        <v>4</v>
      </c>
      <c r="E8" s="7">
        <f>C8/SUM($C$4:C$13)</f>
        <v>0</v>
      </c>
      <c r="F8" s="8">
        <f>IF(ROW()=4,"",C8-C7)</f>
        <v>0</v>
      </c>
      <c r="G8" s="8">
        <f>IF(ROW()=4,"",(C8-C7)/C7*100)</f>
        <v>0</v>
      </c>
      <c r="H8" s="9">
        <v>105.4098360655738</v>
      </c>
      <c r="I8" s="10">
        <v>6430</v>
      </c>
      <c r="J8" s="31">
        <v>5</v>
      </c>
      <c r="K8" s="12">
        <f>I8/SUM(I$4:I$13)</f>
        <v>0</v>
      </c>
      <c r="L8" s="13">
        <f>IF(ROW()=4,"",H8-H7)</f>
        <v>0</v>
      </c>
      <c r="M8" s="8">
        <f>IF(ROW()=4,"",(H8-H7)/H7*100)</f>
        <v>0</v>
      </c>
    </row>
    <row r="9" spans="1:14">
      <c r="A9" s="3">
        <v>45</v>
      </c>
      <c r="B9" s="23" t="s">
        <v>33</v>
      </c>
      <c r="C9" s="5">
        <v>57</v>
      </c>
      <c r="D9" s="43">
        <v>7</v>
      </c>
      <c r="E9" s="7">
        <f>C9/SUM($C$4:C$13)</f>
        <v>0</v>
      </c>
      <c r="F9" s="8">
        <f>IF(ROW()=4,"",C9-C8)</f>
        <v>0</v>
      </c>
      <c r="G9" s="8">
        <f>IF(ROW()=4,"",(C9-C8)/C8*100)</f>
        <v>0</v>
      </c>
      <c r="H9" s="9">
        <v>111.5964912280702</v>
      </c>
      <c r="I9" s="10">
        <v>6361</v>
      </c>
      <c r="J9" s="33">
        <v>6</v>
      </c>
      <c r="K9" s="12">
        <f>I9/SUM(I$4:I$13)</f>
        <v>0</v>
      </c>
      <c r="L9" s="13">
        <f>IF(ROW()=4,"",H9-H8)</f>
        <v>0</v>
      </c>
      <c r="M9" s="8">
        <f>IF(ROW()=4,"",(H9-H8)/H8*100)</f>
        <v>0</v>
      </c>
    </row>
    <row r="10" spans="1:14">
      <c r="A10" s="3">
        <v>46</v>
      </c>
      <c r="B10" s="23" t="s">
        <v>34</v>
      </c>
      <c r="C10" s="5">
        <v>54</v>
      </c>
      <c r="D10" s="44">
        <v>9</v>
      </c>
      <c r="E10" s="7">
        <f>C10/SUM($C$4:C$13)</f>
        <v>0</v>
      </c>
      <c r="F10" s="8">
        <f>IF(ROW()=4,"",C10-C9)</f>
        <v>0</v>
      </c>
      <c r="G10" s="8">
        <f>IF(ROW()=4,"",(C10-C9)/C9*100)</f>
        <v>0</v>
      </c>
      <c r="H10" s="9">
        <v>114.3703703703704</v>
      </c>
      <c r="I10" s="10">
        <v>6176</v>
      </c>
      <c r="J10" s="35">
        <v>7</v>
      </c>
      <c r="K10" s="12">
        <f>I10/SUM(I$4:I$13)</f>
        <v>0</v>
      </c>
      <c r="L10" s="13">
        <f>IF(ROW()=4,"",H10-H9)</f>
        <v>0</v>
      </c>
      <c r="M10" s="8">
        <f>IF(ROW()=4,"",(H10-H9)/H9*100)</f>
        <v>0</v>
      </c>
    </row>
    <row r="11" spans="1:14">
      <c r="A11" s="3">
        <v>47</v>
      </c>
      <c r="B11" s="23" t="s">
        <v>35</v>
      </c>
      <c r="C11" s="5">
        <v>57</v>
      </c>
      <c r="D11" s="43">
        <v>7</v>
      </c>
      <c r="E11" s="7">
        <f>C11/SUM($C$4:C$13)</f>
        <v>0</v>
      </c>
      <c r="F11" s="8">
        <f>IF(ROW()=4,"",C11-C10)</f>
        <v>0</v>
      </c>
      <c r="G11" s="8">
        <f>IF(ROW()=4,"",(C11-C10)/C10*100)</f>
        <v>0</v>
      </c>
      <c r="H11" s="9">
        <v>103.4035087719298</v>
      </c>
      <c r="I11" s="10">
        <v>5894</v>
      </c>
      <c r="J11" s="37">
        <v>8</v>
      </c>
      <c r="K11" s="12">
        <f>I11/SUM(I$4:I$13)</f>
        <v>0</v>
      </c>
      <c r="L11" s="13">
        <f>IF(ROW()=4,"",H11-H10)</f>
        <v>0</v>
      </c>
      <c r="M11" s="8">
        <f>IF(ROW()=4,"",(H11-H10)/H10*100)</f>
        <v>0</v>
      </c>
    </row>
    <row r="12" spans="1:14">
      <c r="A12" s="3">
        <v>48</v>
      </c>
      <c r="B12" s="23" t="s">
        <v>36</v>
      </c>
      <c r="C12" s="5">
        <v>57</v>
      </c>
      <c r="D12" s="43">
        <v>7</v>
      </c>
      <c r="E12" s="7">
        <f>C12/SUM($C$4:C$13)</f>
        <v>0</v>
      </c>
      <c r="F12" s="8">
        <f>IF(ROW()=4,"",C12-C11)</f>
        <v>0</v>
      </c>
      <c r="G12" s="8">
        <f>IF(ROW()=4,"",(C12-C11)/C11*100)</f>
        <v>0</v>
      </c>
      <c r="H12" s="9">
        <v>96.6140350877193</v>
      </c>
      <c r="I12" s="10">
        <v>5507</v>
      </c>
      <c r="J12" s="38">
        <v>9</v>
      </c>
      <c r="K12" s="12">
        <f>I12/SUM(I$4:I$13)</f>
        <v>0</v>
      </c>
      <c r="L12" s="13">
        <f>IF(ROW()=4,"",H12-H11)</f>
        <v>0</v>
      </c>
      <c r="M12" s="8">
        <f>IF(ROW()=4,"",(H12-H11)/H11*100)</f>
        <v>0</v>
      </c>
    </row>
    <row r="13" spans="1:14">
      <c r="A13" s="3">
        <v>49</v>
      </c>
      <c r="B13" s="23" t="s">
        <v>37</v>
      </c>
      <c r="C13" s="5">
        <v>50</v>
      </c>
      <c r="D13" s="14">
        <v>10</v>
      </c>
      <c r="E13" s="7">
        <f>C13/SUM($C$4:C$13)</f>
        <v>0</v>
      </c>
      <c r="F13" s="8">
        <f>IF(ROW()=4,"",C13-C12)</f>
        <v>0</v>
      </c>
      <c r="G13" s="8">
        <f>IF(ROW()=4,"",(C13-C12)/C12*100)</f>
        <v>0</v>
      </c>
      <c r="H13" s="9">
        <v>96.06</v>
      </c>
      <c r="I13" s="10">
        <v>4803</v>
      </c>
      <c r="J13" s="15">
        <v>10</v>
      </c>
      <c r="K13" s="12">
        <f>I13/SUM(I$4:I$13)</f>
        <v>0</v>
      </c>
      <c r="L13" s="13">
        <f>IF(ROW()=4,"",H13-H12)</f>
        <v>0</v>
      </c>
      <c r="M13" s="8">
        <f>IF(ROW()=4,"",(H13-H12)/H12*100)</f>
        <v>0</v>
      </c>
    </row>
    <row r="14" spans="1:14">
      <c r="A14" s="3" t="s">
        <v>12</v>
      </c>
      <c r="B14" s="16"/>
      <c r="C14" s="17">
        <f>SUBTOTAL(9,C4:C13)</f>
        <v>0</v>
      </c>
      <c r="D14" s="16"/>
      <c r="E14" s="18">
        <f>SUBTOTAL(9,E4:E13)</f>
        <v>0</v>
      </c>
      <c r="F14" s="19">
        <f>SUBTOTAL(9,F4:F13)</f>
        <v>0</v>
      </c>
      <c r="G14" s="19">
        <f>SUBTOTAL(9,G4:G13)</f>
        <v>0</v>
      </c>
      <c r="H14" s="20">
        <f>SUBTOTAL(9,H4:H13)</f>
        <v>0</v>
      </c>
      <c r="I14" s="21">
        <f>SUBTOTAL(9,I4:I13)</f>
        <v>0</v>
      </c>
      <c r="J14" s="16"/>
      <c r="K14" s="18">
        <f>SUBTOTAL(9,K4:K13)</f>
        <v>0</v>
      </c>
      <c r="L14" s="22">
        <f>SUBTOTAL(9,L4:L13)</f>
        <v>0</v>
      </c>
      <c r="M14" s="19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9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39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5">
        <v>1</v>
      </c>
      <c r="C4" s="5">
        <v>354</v>
      </c>
      <c r="D4" s="46">
        <v>4</v>
      </c>
      <c r="E4" s="7">
        <f>C4/SUM($C$4:C$8)</f>
        <v>0</v>
      </c>
      <c r="F4" s="8">
        <f>IF(ROW()=4,"",C4-C3)</f>
        <v>0</v>
      </c>
      <c r="G4" s="8">
        <f>IF(ROW()=4,"",(C4-C3)/C3*100)</f>
        <v>0</v>
      </c>
      <c r="H4" s="9">
        <v>139.4265536723164</v>
      </c>
      <c r="I4" s="10">
        <v>49357</v>
      </c>
      <c r="J4" s="15">
        <v>5</v>
      </c>
      <c r="K4" s="12">
        <f>I4/SUM(I$4:I$8)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47">
        <v>2</v>
      </c>
      <c r="C5" s="5">
        <v>938</v>
      </c>
      <c r="D5" s="6">
        <v>1</v>
      </c>
      <c r="E5" s="7">
        <f>C5/SUM($C$4:C$8)</f>
        <v>0</v>
      </c>
      <c r="F5" s="8">
        <f>IF(ROW()=4,"",C5-C4)</f>
        <v>0</v>
      </c>
      <c r="G5" s="8">
        <f>IF(ROW()=4,"",(C5-C4)/C4*100)</f>
        <v>0</v>
      </c>
      <c r="H5" s="9">
        <v>126.9573560767591</v>
      </c>
      <c r="I5" s="10">
        <v>119086</v>
      </c>
      <c r="J5" s="48">
        <v>2</v>
      </c>
      <c r="K5" s="12">
        <f>I5/SUM(I$4:I$8)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49">
        <v>3</v>
      </c>
      <c r="C6" s="5">
        <v>829</v>
      </c>
      <c r="D6" s="50">
        <v>3</v>
      </c>
      <c r="E6" s="7">
        <f>C6/SUM($C$4:C$8)</f>
        <v>0</v>
      </c>
      <c r="F6" s="8">
        <f>IF(ROW()=4,"",C6-C5)</f>
        <v>0</v>
      </c>
      <c r="G6" s="8">
        <f>IF(ROW()=4,"",(C6-C5)/C5*100)</f>
        <v>0</v>
      </c>
      <c r="H6" s="9">
        <v>140.0193003618818</v>
      </c>
      <c r="I6" s="10">
        <v>116076</v>
      </c>
      <c r="J6" s="51">
        <v>3</v>
      </c>
      <c r="K6" s="12">
        <f>I6/SUM(I$4:I$8)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52">
        <v>4</v>
      </c>
      <c r="C7" s="5">
        <v>934</v>
      </c>
      <c r="D7" s="53">
        <v>2</v>
      </c>
      <c r="E7" s="7">
        <f>C7/SUM($C$4:C$8)</f>
        <v>0</v>
      </c>
      <c r="F7" s="8">
        <f>IF(ROW()=4,"",C7-C6)</f>
        <v>0</v>
      </c>
      <c r="G7" s="8">
        <f>IF(ROW()=4,"",(C7-C6)/C6*100)</f>
        <v>0</v>
      </c>
      <c r="H7" s="9">
        <v>160.551391862955</v>
      </c>
      <c r="I7" s="10">
        <v>149955</v>
      </c>
      <c r="J7" s="11">
        <v>1</v>
      </c>
      <c r="K7" s="12">
        <f>I7/SUM(I$4:I$8)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54">
        <v>5</v>
      </c>
      <c r="C8" s="5">
        <v>345</v>
      </c>
      <c r="D8" s="14">
        <v>5</v>
      </c>
      <c r="E8" s="7">
        <f>C8/SUM($C$4:C$8)</f>
        <v>0</v>
      </c>
      <c r="F8" s="8">
        <f>IF(ROW()=4,"",C8-C7)</f>
        <v>0</v>
      </c>
      <c r="G8" s="8">
        <f>IF(ROW()=4,"",(C8-C7)/C7*100)</f>
        <v>0</v>
      </c>
      <c r="H8" s="9">
        <v>190.6057971014493</v>
      </c>
      <c r="I8" s="10">
        <v>65759</v>
      </c>
      <c r="J8" s="55">
        <v>4</v>
      </c>
      <c r="K8" s="12">
        <f>I8/SUM(I$4:I$8)</f>
        <v>0</v>
      </c>
      <c r="L8" s="13">
        <f>IF(ROW()=4,"",H8-H7)</f>
        <v>0</v>
      </c>
      <c r="M8" s="8">
        <f>IF(ROW()=4,"",(H8-H7)/H7*100)</f>
        <v>0</v>
      </c>
    </row>
    <row r="9" spans="1:14">
      <c r="A9" s="3" t="s">
        <v>12</v>
      </c>
      <c r="B9" s="16"/>
      <c r="C9" s="17">
        <f>SUBTOTAL(9,C4:C8)</f>
        <v>0</v>
      </c>
      <c r="D9" s="16"/>
      <c r="E9" s="18">
        <f>SUBTOTAL(9,E4:E8)</f>
        <v>0</v>
      </c>
      <c r="F9" s="19">
        <f>SUBTOTAL(9,F4:F8)</f>
        <v>0</v>
      </c>
      <c r="G9" s="19">
        <f>SUBTOTAL(9,G4:G8)</f>
        <v>0</v>
      </c>
      <c r="H9" s="20">
        <f>SUBTOTAL(9,H4:H8)</f>
        <v>0</v>
      </c>
      <c r="I9" s="21">
        <f>SUBTOTAL(9,I4:I8)</f>
        <v>0</v>
      </c>
      <c r="J9" s="16"/>
      <c r="K9" s="18">
        <f>SUBTOTAL(9,K4:K8)</f>
        <v>0</v>
      </c>
      <c r="L9" s="22">
        <f>SUBTOTAL(9,L4:L8)</f>
        <v>0</v>
      </c>
      <c r="M9" s="19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6" t="s">
        <v>42</v>
      </c>
      <c r="C4" s="5">
        <v>504</v>
      </c>
      <c r="D4" s="57">
        <v>2</v>
      </c>
      <c r="E4" s="7">
        <f>C4/SUM($C$4:C$10)</f>
        <v>0</v>
      </c>
      <c r="F4" s="8">
        <f>IF(ROW()=4,"",C4-C3)</f>
        <v>0</v>
      </c>
      <c r="G4" s="8">
        <f>IF(ROW()=4,"",(C4-C3)/C3*100)</f>
        <v>0</v>
      </c>
      <c r="H4" s="9">
        <v>147.9027777777778</v>
      </c>
      <c r="I4" s="10">
        <v>74543</v>
      </c>
      <c r="J4" s="29">
        <v>3</v>
      </c>
      <c r="K4" s="12">
        <f>I4/SUM(I$4:I$10)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56" t="s">
        <v>43</v>
      </c>
      <c r="C5" s="5">
        <v>468</v>
      </c>
      <c r="D5" s="58">
        <v>6</v>
      </c>
      <c r="E5" s="7">
        <f>C5/SUM($C$4:C$10)</f>
        <v>0</v>
      </c>
      <c r="F5" s="8">
        <f>IF(ROW()=4,"",C5-C4)</f>
        <v>0</v>
      </c>
      <c r="G5" s="8">
        <f>IF(ROW()=4,"",(C5-C4)/C4*100)</f>
        <v>0</v>
      </c>
      <c r="H5" s="9">
        <v>152.3696581196581</v>
      </c>
      <c r="I5" s="10">
        <v>71309</v>
      </c>
      <c r="J5" s="51">
        <v>4</v>
      </c>
      <c r="K5" s="12">
        <f>I5/SUM(I$4:I$10)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56" t="s">
        <v>44</v>
      </c>
      <c r="C6" s="5">
        <v>461</v>
      </c>
      <c r="D6" s="14">
        <v>7</v>
      </c>
      <c r="E6" s="7">
        <f>C6/SUM($C$4:C$10)</f>
        <v>0</v>
      </c>
      <c r="F6" s="8">
        <f>IF(ROW()=4,"",C6-C5)</f>
        <v>0</v>
      </c>
      <c r="G6" s="8">
        <f>IF(ROW()=4,"",(C6-C5)/C5*100)</f>
        <v>0</v>
      </c>
      <c r="H6" s="9">
        <v>134.704989154013</v>
      </c>
      <c r="I6" s="10">
        <v>62099</v>
      </c>
      <c r="J6" s="15">
        <v>7</v>
      </c>
      <c r="K6" s="12">
        <f>I6/SUM(I$4:I$10)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56" t="s">
        <v>45</v>
      </c>
      <c r="C7" s="5">
        <v>526</v>
      </c>
      <c r="D7" s="6">
        <v>1</v>
      </c>
      <c r="E7" s="7">
        <f>C7/SUM($C$4:C$10)</f>
        <v>0</v>
      </c>
      <c r="F7" s="8">
        <f>IF(ROW()=4,"",C7-C6)</f>
        <v>0</v>
      </c>
      <c r="G7" s="8">
        <f>IF(ROW()=4,"",(C7-C6)/C6*100)</f>
        <v>0</v>
      </c>
      <c r="H7" s="9">
        <v>128.1882129277567</v>
      </c>
      <c r="I7" s="10">
        <v>67427</v>
      </c>
      <c r="J7" s="35">
        <v>5</v>
      </c>
      <c r="K7" s="12">
        <f>I7/SUM(I$4:I$10)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56" t="s">
        <v>46</v>
      </c>
      <c r="C8" s="5">
        <v>472</v>
      </c>
      <c r="D8" s="43">
        <v>5</v>
      </c>
      <c r="E8" s="7">
        <f>C8/SUM($C$4:C$10)</f>
        <v>0</v>
      </c>
      <c r="F8" s="8">
        <f>IF(ROW()=4,"",C8-C7)</f>
        <v>0</v>
      </c>
      <c r="G8" s="8">
        <f>IF(ROW()=4,"",(C8-C7)/C7*100)</f>
        <v>0</v>
      </c>
      <c r="H8" s="9">
        <v>167.8665254237288</v>
      </c>
      <c r="I8" s="10">
        <v>79233</v>
      </c>
      <c r="J8" s="59">
        <v>2</v>
      </c>
      <c r="K8" s="12">
        <f>I8/SUM(I$4:I$10)</f>
        <v>0</v>
      </c>
      <c r="L8" s="13">
        <f>IF(ROW()=4,"",H8-H7)</f>
        <v>0</v>
      </c>
      <c r="M8" s="8">
        <f>IF(ROW()=4,"",(H8-H7)/H7*100)</f>
        <v>0</v>
      </c>
    </row>
    <row r="9" spans="1:14">
      <c r="A9" s="3">
        <v>5</v>
      </c>
      <c r="B9" s="56" t="s">
        <v>47</v>
      </c>
      <c r="C9" s="5">
        <v>482</v>
      </c>
      <c r="D9" s="50">
        <v>4</v>
      </c>
      <c r="E9" s="7">
        <f>C9/SUM($C$4:C$10)</f>
        <v>0</v>
      </c>
      <c r="F9" s="8">
        <f>IF(ROW()=4,"",C9-C8)</f>
        <v>0</v>
      </c>
      <c r="G9" s="8">
        <f>IF(ROW()=4,"",(C9-C8)/C8*100)</f>
        <v>0</v>
      </c>
      <c r="H9" s="9">
        <v>129.2697095435685</v>
      </c>
      <c r="I9" s="10">
        <v>62308</v>
      </c>
      <c r="J9" s="60">
        <v>6</v>
      </c>
      <c r="K9" s="12">
        <f>I9/SUM(I$4:I$10)</f>
        <v>0</v>
      </c>
      <c r="L9" s="13">
        <f>IF(ROW()=4,"",H9-H8)</f>
        <v>0</v>
      </c>
      <c r="M9" s="8">
        <f>IF(ROW()=4,"",(H9-H8)/H8*100)</f>
        <v>0</v>
      </c>
    </row>
    <row r="10" spans="1:14">
      <c r="A10" s="3">
        <v>6</v>
      </c>
      <c r="B10" s="56" t="s">
        <v>48</v>
      </c>
      <c r="C10" s="5">
        <v>487</v>
      </c>
      <c r="D10" s="42">
        <v>3</v>
      </c>
      <c r="E10" s="7">
        <f>C10/SUM($C$4:C$10)</f>
        <v>0</v>
      </c>
      <c r="F10" s="8">
        <f>IF(ROW()=4,"",C10-C9)</f>
        <v>0</v>
      </c>
      <c r="G10" s="8">
        <f>IF(ROW()=4,"",(C10-C9)/C9*100)</f>
        <v>0</v>
      </c>
      <c r="H10" s="9">
        <v>171.0759753593429</v>
      </c>
      <c r="I10" s="10">
        <v>83314</v>
      </c>
      <c r="J10" s="11">
        <v>1</v>
      </c>
      <c r="K10" s="12">
        <f>I10/SUM(I$4:I$10)</f>
        <v>0</v>
      </c>
      <c r="L10" s="13">
        <f>IF(ROW()=4,"",H10-H9)</f>
        <v>0</v>
      </c>
      <c r="M10" s="8">
        <f>IF(ROW()=4,"",(H10-H9)/H9*100)</f>
        <v>0</v>
      </c>
    </row>
    <row r="11" spans="1:14">
      <c r="A11" s="3" t="s">
        <v>12</v>
      </c>
      <c r="B11" s="16"/>
      <c r="C11" s="17">
        <f>SUBTOTAL(9,C4:C10)</f>
        <v>0</v>
      </c>
      <c r="D11" s="16"/>
      <c r="E11" s="18">
        <f>SUBTOTAL(9,E4:E10)</f>
        <v>0</v>
      </c>
      <c r="F11" s="19">
        <f>SUBTOTAL(9,F4:F10)</f>
        <v>0</v>
      </c>
      <c r="G11" s="19">
        <f>SUBTOTAL(9,G4:G10)</f>
        <v>0</v>
      </c>
      <c r="H11" s="20">
        <f>SUBTOTAL(9,H4:H10)</f>
        <v>0</v>
      </c>
      <c r="I11" s="21">
        <f>SUBTOTAL(9,I4:I10)</f>
        <v>0</v>
      </c>
      <c r="J11" s="16"/>
      <c r="K11" s="18">
        <f>SUBTOTAL(9,K4:K10)</f>
        <v>0</v>
      </c>
      <c r="L11" s="22">
        <f>SUBTOTAL(9,L4:L10)</f>
        <v>0</v>
      </c>
      <c r="M11" s="19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50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61" t="s">
        <v>51</v>
      </c>
      <c r="C4" s="5">
        <v>292</v>
      </c>
      <c r="D4" s="62">
        <v>7</v>
      </c>
      <c r="E4" s="7">
        <f>C4/SUM($C$4:C$15)</f>
        <v>0</v>
      </c>
      <c r="F4" s="8">
        <f>IF(ROW()=4,"",C4-C3)</f>
        <v>0</v>
      </c>
      <c r="G4" s="8">
        <f>IF(ROW()=4,"",(C4-C3)/C3*100)</f>
        <v>0</v>
      </c>
      <c r="H4" s="9">
        <v>122.3287671232877</v>
      </c>
      <c r="I4" s="10">
        <v>35720</v>
      </c>
      <c r="J4" s="63">
        <v>11</v>
      </c>
      <c r="K4" s="12">
        <f>I4/SUM(I$4:I$15)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61" t="s">
        <v>52</v>
      </c>
      <c r="C5" s="5">
        <v>251</v>
      </c>
      <c r="D5" s="64">
        <v>11</v>
      </c>
      <c r="E5" s="7">
        <f>C5/SUM($C$4:C$15)</f>
        <v>0</v>
      </c>
      <c r="F5" s="8">
        <f>IF(ROW()=4,"",C5-C4)</f>
        <v>0</v>
      </c>
      <c r="G5" s="8">
        <f>IF(ROW()=4,"",(C5-C4)/C4*100)</f>
        <v>0</v>
      </c>
      <c r="H5" s="9">
        <v>158.5059760956175</v>
      </c>
      <c r="I5" s="10">
        <v>39785</v>
      </c>
      <c r="J5" s="65">
        <v>7</v>
      </c>
      <c r="K5" s="12">
        <f>I5/SUM(I$4:I$15)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61" t="s">
        <v>53</v>
      </c>
      <c r="C6" s="5">
        <v>277</v>
      </c>
      <c r="D6" s="66">
        <v>8</v>
      </c>
      <c r="E6" s="7">
        <f>C6/SUM($C$4:C$15)</f>
        <v>0</v>
      </c>
      <c r="F6" s="8">
        <f>IF(ROW()=4,"",C6-C5)</f>
        <v>0</v>
      </c>
      <c r="G6" s="8">
        <f>IF(ROW()=4,"",(C6-C5)/C5*100)</f>
        <v>0</v>
      </c>
      <c r="H6" s="9">
        <v>159.8592057761733</v>
      </c>
      <c r="I6" s="10">
        <v>44281</v>
      </c>
      <c r="J6" s="67">
        <v>4</v>
      </c>
      <c r="K6" s="12">
        <f>I6/SUM(I$4:I$15)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61" t="s">
        <v>54</v>
      </c>
      <c r="C7" s="5">
        <v>295</v>
      </c>
      <c r="D7" s="68">
        <v>6</v>
      </c>
      <c r="E7" s="7">
        <f>C7/SUM($C$4:C$15)</f>
        <v>0</v>
      </c>
      <c r="F7" s="8">
        <f>IF(ROW()=4,"",C7-C6)</f>
        <v>0</v>
      </c>
      <c r="G7" s="8">
        <f>IF(ROW()=4,"",(C7-C6)/C6*100)</f>
        <v>0</v>
      </c>
      <c r="H7" s="9">
        <v>158.6576271186441</v>
      </c>
      <c r="I7" s="10">
        <v>46804</v>
      </c>
      <c r="J7" s="69">
        <v>3</v>
      </c>
      <c r="K7" s="12">
        <f>I7/SUM(I$4:I$15)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61" t="s">
        <v>55</v>
      </c>
      <c r="C8" s="5">
        <v>308</v>
      </c>
      <c r="D8" s="70">
        <v>2</v>
      </c>
      <c r="E8" s="7">
        <f>C8/SUM($C$4:C$15)</f>
        <v>0</v>
      </c>
      <c r="F8" s="8">
        <f>IF(ROW()=4,"",C8-C7)</f>
        <v>0</v>
      </c>
      <c r="G8" s="8">
        <f>IF(ROW()=4,"",(C8-C7)/C7*100)</f>
        <v>0</v>
      </c>
      <c r="H8" s="9">
        <v>167.6590909090909</v>
      </c>
      <c r="I8" s="10">
        <v>51639</v>
      </c>
      <c r="J8" s="71">
        <v>2</v>
      </c>
      <c r="K8" s="12">
        <f>I8/SUM(I$4:I$15)</f>
        <v>0</v>
      </c>
      <c r="L8" s="13">
        <f>IF(ROW()=4,"",H8-H7)</f>
        <v>0</v>
      </c>
      <c r="M8" s="8">
        <f>IF(ROW()=4,"",(H8-H7)/H7*100)</f>
        <v>0</v>
      </c>
    </row>
    <row r="9" spans="1:14">
      <c r="A9" s="3">
        <v>5</v>
      </c>
      <c r="B9" s="61" t="s">
        <v>56</v>
      </c>
      <c r="C9" s="5">
        <v>262</v>
      </c>
      <c r="D9" s="72">
        <v>9</v>
      </c>
      <c r="E9" s="7">
        <f>C9/SUM($C$4:C$15)</f>
        <v>0</v>
      </c>
      <c r="F9" s="8">
        <f>IF(ROW()=4,"",C9-C8)</f>
        <v>0</v>
      </c>
      <c r="G9" s="8">
        <f>IF(ROW()=4,"",(C9-C8)/C8*100)</f>
        <v>0</v>
      </c>
      <c r="H9" s="9">
        <v>157.6145038167939</v>
      </c>
      <c r="I9" s="10">
        <v>41295</v>
      </c>
      <c r="J9" s="73">
        <v>6</v>
      </c>
      <c r="K9" s="12">
        <f>I9/SUM(I$4:I$15)</f>
        <v>0</v>
      </c>
      <c r="L9" s="13">
        <f>IF(ROW()=4,"",H9-H8)</f>
        <v>0</v>
      </c>
      <c r="M9" s="8">
        <f>IF(ROW()=4,"",(H9-H8)/H8*100)</f>
        <v>0</v>
      </c>
    </row>
    <row r="10" spans="1:14">
      <c r="A10" s="3">
        <v>6</v>
      </c>
      <c r="B10" s="61" t="s">
        <v>57</v>
      </c>
      <c r="C10" s="5">
        <v>303</v>
      </c>
      <c r="D10" s="74">
        <v>4</v>
      </c>
      <c r="E10" s="7">
        <f>C10/SUM($C$4:C$15)</f>
        <v>0</v>
      </c>
      <c r="F10" s="8">
        <f>IF(ROW()=4,"",C10-C9)</f>
        <v>0</v>
      </c>
      <c r="G10" s="8">
        <f>IF(ROW()=4,"",(C10-C9)/C9*100)</f>
        <v>0</v>
      </c>
      <c r="H10" s="9">
        <v>129.1254125412541</v>
      </c>
      <c r="I10" s="10">
        <v>39125</v>
      </c>
      <c r="J10" s="75">
        <v>9</v>
      </c>
      <c r="K10" s="12">
        <f>I10/SUM(I$4:I$15)</f>
        <v>0</v>
      </c>
      <c r="L10" s="13">
        <f>IF(ROW()=4,"",H10-H9)</f>
        <v>0</v>
      </c>
      <c r="M10" s="8">
        <f>IF(ROW()=4,"",(H10-H9)/H9*100)</f>
        <v>0</v>
      </c>
    </row>
    <row r="11" spans="1:14">
      <c r="A11" s="3">
        <v>7</v>
      </c>
      <c r="B11" s="61" t="s">
        <v>58</v>
      </c>
      <c r="C11" s="5">
        <v>301</v>
      </c>
      <c r="D11" s="76">
        <v>5</v>
      </c>
      <c r="E11" s="7">
        <f>C11/SUM($C$4:C$15)</f>
        <v>0</v>
      </c>
      <c r="F11" s="8">
        <f>IF(ROW()=4,"",C11-C10)</f>
        <v>0</v>
      </c>
      <c r="G11" s="8">
        <f>IF(ROW()=4,"",(C11-C10)/C10*100)</f>
        <v>0</v>
      </c>
      <c r="H11" s="9">
        <v>137.4817275747508</v>
      </c>
      <c r="I11" s="10">
        <v>41382</v>
      </c>
      <c r="J11" s="77">
        <v>5</v>
      </c>
      <c r="K11" s="12">
        <f>I11/SUM(I$4:I$15)</f>
        <v>0</v>
      </c>
      <c r="L11" s="13">
        <f>IF(ROW()=4,"",H11-H10)</f>
        <v>0</v>
      </c>
      <c r="M11" s="8">
        <f>IF(ROW()=4,"",(H11-H10)/H10*100)</f>
        <v>0</v>
      </c>
    </row>
    <row r="12" spans="1:14">
      <c r="A12" s="3">
        <v>8</v>
      </c>
      <c r="B12" s="61" t="s">
        <v>59</v>
      </c>
      <c r="C12" s="5">
        <v>253</v>
      </c>
      <c r="D12" s="78">
        <v>10</v>
      </c>
      <c r="E12" s="7">
        <f>C12/SUM($C$4:C$15)</f>
        <v>0</v>
      </c>
      <c r="F12" s="8">
        <f>IF(ROW()=4,"",C12-C11)</f>
        <v>0</v>
      </c>
      <c r="G12" s="8">
        <f>IF(ROW()=4,"",(C12-C11)/C11*100)</f>
        <v>0</v>
      </c>
      <c r="H12" s="9">
        <v>120.4624505928854</v>
      </c>
      <c r="I12" s="10">
        <v>30477</v>
      </c>
      <c r="J12" s="15">
        <v>12</v>
      </c>
      <c r="K12" s="12">
        <f>I12/SUM(I$4:I$15)</f>
        <v>0</v>
      </c>
      <c r="L12" s="13">
        <f>IF(ROW()=4,"",H12-H11)</f>
        <v>0</v>
      </c>
      <c r="M12" s="8">
        <f>IF(ROW()=4,"",(H12-H11)/H11*100)</f>
        <v>0</v>
      </c>
    </row>
    <row r="13" spans="1:14">
      <c r="A13" s="3">
        <v>9</v>
      </c>
      <c r="B13" s="61" t="s">
        <v>60</v>
      </c>
      <c r="C13" s="5">
        <v>314</v>
      </c>
      <c r="D13" s="6">
        <v>1</v>
      </c>
      <c r="E13" s="7">
        <f>C13/SUM($C$4:C$15)</f>
        <v>0</v>
      </c>
      <c r="F13" s="8">
        <f>IF(ROW()=4,"",C13-C12)</f>
        <v>0</v>
      </c>
      <c r="G13" s="8">
        <f>IF(ROW()=4,"",(C13-C12)/C12*100)</f>
        <v>0</v>
      </c>
      <c r="H13" s="9">
        <v>119.2515923566879</v>
      </c>
      <c r="I13" s="10">
        <v>37445</v>
      </c>
      <c r="J13" s="79">
        <v>10</v>
      </c>
      <c r="K13" s="12">
        <f>I13/SUM(I$4:I$15)</f>
        <v>0</v>
      </c>
      <c r="L13" s="13">
        <f>IF(ROW()=4,"",H13-H12)</f>
        <v>0</v>
      </c>
      <c r="M13" s="8">
        <f>IF(ROW()=4,"",(H13-H12)/H12*100)</f>
        <v>0</v>
      </c>
    </row>
    <row r="14" spans="1:14">
      <c r="A14" s="3">
        <v>10</v>
      </c>
      <c r="B14" s="61" t="s">
        <v>61</v>
      </c>
      <c r="C14" s="5">
        <v>238</v>
      </c>
      <c r="D14" s="14">
        <v>12</v>
      </c>
      <c r="E14" s="7">
        <f>C14/SUM($C$4:C$15)</f>
        <v>0</v>
      </c>
      <c r="F14" s="8">
        <f>IF(ROW()=4,"",C14-C13)</f>
        <v>0</v>
      </c>
      <c r="G14" s="8">
        <f>IF(ROW()=4,"",(C14-C13)/C13*100)</f>
        <v>0</v>
      </c>
      <c r="H14" s="9">
        <v>165.0252100840336</v>
      </c>
      <c r="I14" s="10">
        <v>39276</v>
      </c>
      <c r="J14" s="80">
        <v>8</v>
      </c>
      <c r="K14" s="12">
        <f>I14/SUM(I$4:I$15)</f>
        <v>0</v>
      </c>
      <c r="L14" s="13">
        <f>IF(ROW()=4,"",H14-H13)</f>
        <v>0</v>
      </c>
      <c r="M14" s="8">
        <f>IF(ROW()=4,"",(H14-H13)/H13*100)</f>
        <v>0</v>
      </c>
    </row>
    <row r="15" spans="1:14">
      <c r="A15" s="3">
        <v>11</v>
      </c>
      <c r="B15" s="61" t="s">
        <v>62</v>
      </c>
      <c r="C15" s="5">
        <v>306</v>
      </c>
      <c r="D15" s="81">
        <v>3</v>
      </c>
      <c r="E15" s="7">
        <f>C15/SUM($C$4:C$15)</f>
        <v>0</v>
      </c>
      <c r="F15" s="8">
        <f>IF(ROW()=4,"",C15-C14)</f>
        <v>0</v>
      </c>
      <c r="G15" s="8">
        <f>IF(ROW()=4,"",(C15-C14)/C14*100)</f>
        <v>0</v>
      </c>
      <c r="H15" s="9">
        <v>173.2156862745098</v>
      </c>
      <c r="I15" s="10">
        <v>53004</v>
      </c>
      <c r="J15" s="11">
        <v>1</v>
      </c>
      <c r="K15" s="12">
        <f>I15/SUM(I$4:I$15)</f>
        <v>0</v>
      </c>
      <c r="L15" s="13">
        <f>IF(ROW()=4,"",H15-H14)</f>
        <v>0</v>
      </c>
      <c r="M15" s="8">
        <f>IF(ROW()=4,"",(H15-H14)/H14*100)</f>
        <v>0</v>
      </c>
    </row>
    <row r="16" spans="1:14">
      <c r="A16" s="3" t="s">
        <v>12</v>
      </c>
      <c r="B16" s="16"/>
      <c r="C16" s="17">
        <f>SUBTOTAL(9,C4:C15)</f>
        <v>0</v>
      </c>
      <c r="D16" s="16"/>
      <c r="E16" s="18">
        <f>SUBTOTAL(9,E4:E15)</f>
        <v>0</v>
      </c>
      <c r="F16" s="19">
        <f>SUBTOTAL(9,F4:F15)</f>
        <v>0</v>
      </c>
      <c r="G16" s="19">
        <f>SUBTOTAL(9,G4:G15)</f>
        <v>0</v>
      </c>
      <c r="H16" s="20">
        <f>SUBTOTAL(9,H4:H15)</f>
        <v>0</v>
      </c>
      <c r="I16" s="21">
        <f>SUBTOTAL(9,I4:I15)</f>
        <v>0</v>
      </c>
      <c r="J16" s="16"/>
      <c r="K16" s="18">
        <f>SUBTOTAL(9,K4:K15)</f>
        <v>0</v>
      </c>
      <c r="L16" s="22">
        <f>SUBTOTAL(9,L4:L15)</f>
        <v>0</v>
      </c>
      <c r="M16" s="19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0.7109375" customWidth="1"/>
    <col min="3" max="3" width="8.7109375" customWidth="1"/>
    <col min="4" max="4" width="13.7109375" customWidth="1"/>
    <col min="5" max="5" width="24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4.7109375" customWidth="1"/>
    <col min="12" max="12" width="19.7109375" customWidth="1"/>
    <col min="13" max="13" width="23.7109375" customWidth="1"/>
  </cols>
  <sheetData>
    <row r="1" spans="1:14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2" t="s">
        <v>65</v>
      </c>
      <c r="C4" s="5">
        <v>853</v>
      </c>
      <c r="D4" s="50">
        <v>3</v>
      </c>
      <c r="E4" s="7">
        <f>C4/SUM($C$4:C$8)</f>
        <v>0</v>
      </c>
      <c r="F4" s="8">
        <f>IF(ROW()=4,"",C4-C3)</f>
        <v>0</v>
      </c>
      <c r="G4" s="8">
        <f>IF(ROW()=4,"",(C4-C3)/C3*100)</f>
        <v>0</v>
      </c>
      <c r="H4" s="9">
        <v>151.5849941383353</v>
      </c>
      <c r="I4" s="10">
        <v>129302</v>
      </c>
      <c r="J4" s="48">
        <v>2</v>
      </c>
      <c r="K4" s="12">
        <f>I4/SUM(I$4:I$8)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82" t="s">
        <v>66</v>
      </c>
      <c r="C5" s="5">
        <v>820</v>
      </c>
      <c r="D5" s="46">
        <v>4</v>
      </c>
      <c r="E5" s="7">
        <f>C5/SUM($C$4:C$8)</f>
        <v>0</v>
      </c>
      <c r="F5" s="8">
        <f>IF(ROW()=4,"",C5-C4)</f>
        <v>0</v>
      </c>
      <c r="G5" s="8">
        <f>IF(ROW()=4,"",(C5-C4)/C4*100)</f>
        <v>0</v>
      </c>
      <c r="H5" s="9">
        <v>146.0804878048781</v>
      </c>
      <c r="I5" s="10">
        <v>119786</v>
      </c>
      <c r="J5" s="51">
        <v>3</v>
      </c>
      <c r="K5" s="12">
        <f>I5/SUM(I$4:I$8)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82" t="s">
        <v>67</v>
      </c>
      <c r="C6" s="5">
        <v>865</v>
      </c>
      <c r="D6" s="6">
        <v>1</v>
      </c>
      <c r="E6" s="7">
        <f>C6/SUM($C$4:C$8)</f>
        <v>0</v>
      </c>
      <c r="F6" s="8">
        <f>IF(ROW()=4,"",C6-C5)</f>
        <v>0</v>
      </c>
      <c r="G6" s="8">
        <f>IF(ROW()=4,"",(C6-C5)/C5*100)</f>
        <v>0</v>
      </c>
      <c r="H6" s="9">
        <v>161.5468208092485</v>
      </c>
      <c r="I6" s="10">
        <v>139738</v>
      </c>
      <c r="J6" s="11">
        <v>1</v>
      </c>
      <c r="K6" s="12">
        <f>I6/SUM(I$4:I$8)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82" t="s">
        <v>68</v>
      </c>
      <c r="C7" s="5">
        <v>857</v>
      </c>
      <c r="D7" s="53">
        <v>2</v>
      </c>
      <c r="E7" s="7">
        <f>C7/SUM($C$4:C$8)</f>
        <v>0</v>
      </c>
      <c r="F7" s="8">
        <f>IF(ROW()=4,"",C7-C6)</f>
        <v>0</v>
      </c>
      <c r="G7" s="8">
        <f>IF(ROW()=4,"",(C7-C6)/C6*100)</f>
        <v>0</v>
      </c>
      <c r="H7" s="9">
        <v>129.5029171528588</v>
      </c>
      <c r="I7" s="10">
        <v>110984</v>
      </c>
      <c r="J7" s="55">
        <v>4</v>
      </c>
      <c r="K7" s="12">
        <f>I7/SUM(I$4:I$8)</f>
        <v>0</v>
      </c>
      <c r="L7" s="13">
        <f>IF(ROW()=4,"",H7-H6)</f>
        <v>0</v>
      </c>
      <c r="M7" s="8">
        <f>IF(ROW()=4,"",(H7-H6)/H6*100)</f>
        <v>0</v>
      </c>
    </row>
    <row r="8" spans="1:14">
      <c r="A8" s="3">
        <v>4</v>
      </c>
      <c r="B8" s="82" t="s">
        <v>69</v>
      </c>
      <c r="C8" s="5">
        <v>5</v>
      </c>
      <c r="D8" s="14">
        <v>5</v>
      </c>
      <c r="E8" s="7">
        <f>C8/SUM($C$4:C$8)</f>
        <v>0</v>
      </c>
      <c r="F8" s="8">
        <f>IF(ROW()=4,"",C8-C7)</f>
        <v>0</v>
      </c>
      <c r="G8" s="8">
        <f>IF(ROW()=4,"",(C8-C7)/C7*100)</f>
        <v>0</v>
      </c>
      <c r="H8" s="9">
        <v>84.59999999999999</v>
      </c>
      <c r="I8" s="10">
        <v>423</v>
      </c>
      <c r="J8" s="15">
        <v>5</v>
      </c>
      <c r="K8" s="12">
        <f>I8/SUM(I$4:I$8)</f>
        <v>0</v>
      </c>
      <c r="L8" s="13">
        <f>IF(ROW()=4,"",H8-H7)</f>
        <v>0</v>
      </c>
      <c r="M8" s="8">
        <f>IF(ROW()=4,"",(H8-H7)/H7*100)</f>
        <v>0</v>
      </c>
    </row>
    <row r="9" spans="1:14">
      <c r="A9" s="3" t="s">
        <v>12</v>
      </c>
      <c r="B9" s="16"/>
      <c r="C9" s="17">
        <f>SUBTOTAL(9,C4:C8)</f>
        <v>0</v>
      </c>
      <c r="D9" s="16"/>
      <c r="E9" s="18">
        <f>SUBTOTAL(9,E4:E8)</f>
        <v>0</v>
      </c>
      <c r="F9" s="19">
        <f>SUBTOTAL(9,F4:F8)</f>
        <v>0</v>
      </c>
      <c r="G9" s="19">
        <f>SUBTOTAL(9,G4:G8)</f>
        <v>0</v>
      </c>
      <c r="H9" s="20">
        <f>SUBTOTAL(9,H4:H8)</f>
        <v>0</v>
      </c>
      <c r="I9" s="21">
        <f>SUBTOTAL(9,I4:I8)</f>
        <v>0</v>
      </c>
      <c r="J9" s="16"/>
      <c r="K9" s="18">
        <f>SUBTOTAL(9,K4:K8)</f>
        <v>0</v>
      </c>
      <c r="L9" s="22">
        <f>SUBTOTAL(9,L4:L8)</f>
        <v>0</v>
      </c>
      <c r="M9" s="19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71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2" t="s">
        <v>72</v>
      </c>
      <c r="C4" s="5">
        <v>820</v>
      </c>
      <c r="D4" s="14">
        <v>4</v>
      </c>
      <c r="E4" s="7">
        <f>C4/SUM($C$4:C$7)</f>
        <v>0</v>
      </c>
      <c r="F4" s="8">
        <f>IF(ROW()=4,"",C4-C3)</f>
        <v>0</v>
      </c>
      <c r="G4" s="8">
        <f>IF(ROW()=4,"",(C4-C3)/C3*100)</f>
        <v>0</v>
      </c>
      <c r="H4" s="9">
        <v>146.0804878048781</v>
      </c>
      <c r="I4" s="10">
        <v>119786</v>
      </c>
      <c r="J4" s="35">
        <v>3</v>
      </c>
      <c r="K4" s="12">
        <f>I4/SUM(I$4:I$7)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82" t="s">
        <v>73</v>
      </c>
      <c r="C5" s="5">
        <v>865</v>
      </c>
      <c r="D5" s="6">
        <v>1</v>
      </c>
      <c r="E5" s="7">
        <f>C5/SUM($C$4:C$7)</f>
        <v>0</v>
      </c>
      <c r="F5" s="8">
        <f>IF(ROW()=4,"",C5-C4)</f>
        <v>0</v>
      </c>
      <c r="G5" s="8">
        <f>IF(ROW()=4,"",(C5-C4)/C4*100)</f>
        <v>0</v>
      </c>
      <c r="H5" s="9">
        <v>161.5468208092485</v>
      </c>
      <c r="I5" s="10">
        <v>139738</v>
      </c>
      <c r="J5" s="11">
        <v>1</v>
      </c>
      <c r="K5" s="12">
        <f>I5/SUM(I$4:I$7)</f>
        <v>0</v>
      </c>
      <c r="L5" s="13">
        <f>IF(ROW()=4,"",H5-H4)</f>
        <v>0</v>
      </c>
      <c r="M5" s="8">
        <f>IF(ROW()=4,"",(H5-H4)/H4*100)</f>
        <v>0</v>
      </c>
    </row>
    <row r="6" spans="1:14">
      <c r="A6" s="3">
        <v>2</v>
      </c>
      <c r="B6" s="82" t="s">
        <v>74</v>
      </c>
      <c r="C6" s="5">
        <v>857</v>
      </c>
      <c r="D6" s="43">
        <v>3</v>
      </c>
      <c r="E6" s="7">
        <f>C6/SUM($C$4:C$7)</f>
        <v>0</v>
      </c>
      <c r="F6" s="8">
        <f>IF(ROW()=4,"",C6-C5)</f>
        <v>0</v>
      </c>
      <c r="G6" s="8">
        <f>IF(ROW()=4,"",(C6-C5)/C5*100)</f>
        <v>0</v>
      </c>
      <c r="H6" s="9">
        <v>129.5029171528588</v>
      </c>
      <c r="I6" s="10">
        <v>110984</v>
      </c>
      <c r="J6" s="15">
        <v>4</v>
      </c>
      <c r="K6" s="12">
        <f>I6/SUM(I$4:I$7)</f>
        <v>0</v>
      </c>
      <c r="L6" s="13">
        <f>IF(ROW()=4,"",H6-H5)</f>
        <v>0</v>
      </c>
      <c r="M6" s="8">
        <f>IF(ROW()=4,"",(H6-H5)/H5*100)</f>
        <v>0</v>
      </c>
    </row>
    <row r="7" spans="1:14">
      <c r="A7" s="3">
        <v>3</v>
      </c>
      <c r="B7" s="82" t="s">
        <v>75</v>
      </c>
      <c r="C7" s="5">
        <v>858</v>
      </c>
      <c r="D7" s="42">
        <v>2</v>
      </c>
      <c r="E7" s="7">
        <f>C7/SUM($C$4:C$7)</f>
        <v>0</v>
      </c>
      <c r="F7" s="8">
        <f>IF(ROW()=4,"",C7-C6)</f>
        <v>0</v>
      </c>
      <c r="G7" s="8">
        <f>IF(ROW()=4,"",(C7-C6)/C6*100)</f>
        <v>0</v>
      </c>
      <c r="H7" s="9">
        <v>151.1946386946387</v>
      </c>
      <c r="I7" s="10">
        <v>129725</v>
      </c>
      <c r="J7" s="29">
        <v>2</v>
      </c>
      <c r="K7" s="12">
        <f>I7/SUM(I$4:I$7)</f>
        <v>0</v>
      </c>
      <c r="L7" s="13">
        <f>IF(ROW()=4,"",H7-H6)</f>
        <v>0</v>
      </c>
      <c r="M7" s="8">
        <f>IF(ROW()=4,"",(H7-H6)/H6*100)</f>
        <v>0</v>
      </c>
    </row>
    <row r="8" spans="1:14">
      <c r="A8" s="3" t="s">
        <v>12</v>
      </c>
      <c r="B8" s="16"/>
      <c r="C8" s="17">
        <f>SUBTOTAL(9,C4:C7)</f>
        <v>0</v>
      </c>
      <c r="D8" s="16"/>
      <c r="E8" s="18">
        <f>SUBTOTAL(9,E4:E7)</f>
        <v>0</v>
      </c>
      <c r="F8" s="19">
        <f>SUBTOTAL(9,F4:F7)</f>
        <v>0</v>
      </c>
      <c r="G8" s="19">
        <f>SUBTOTAL(9,G4:G7)</f>
        <v>0</v>
      </c>
      <c r="H8" s="20">
        <f>SUBTOTAL(9,H4:H7)</f>
        <v>0</v>
      </c>
      <c r="I8" s="21">
        <f>SUBTOTAL(9,I4:I7)</f>
        <v>0</v>
      </c>
      <c r="J8" s="16"/>
      <c r="K8" s="18">
        <f>SUBTOTAL(9,K4:K7)</f>
        <v>0</v>
      </c>
      <c r="L8" s="22">
        <f>SUBTOTAL(9,L4:L7)</f>
        <v>0</v>
      </c>
      <c r="M8" s="19">
        <f>SUBTOTAL(9,M4:M7)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2" width="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77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3" t="s">
        <v>78</v>
      </c>
      <c r="C4" s="5">
        <v>853</v>
      </c>
      <c r="D4" s="14">
        <v>2</v>
      </c>
      <c r="E4" s="7">
        <f>C4/SUM($C$4:C$5)</f>
        <v>0</v>
      </c>
      <c r="F4" s="8">
        <f>IF(ROW()=4,"",C4-C3)</f>
        <v>0</v>
      </c>
      <c r="G4" s="8">
        <f>IF(ROW()=4,"",(C4-C3)/C3*100)</f>
        <v>0</v>
      </c>
      <c r="H4" s="9">
        <v>151.5849941383353</v>
      </c>
      <c r="I4" s="10">
        <v>129302</v>
      </c>
      <c r="J4" s="15">
        <v>2</v>
      </c>
      <c r="K4" s="12">
        <f>I4/SUM(I$4:I$5)</f>
        <v>0</v>
      </c>
      <c r="L4" s="13">
        <f>IF(ROW()=4,"",H4-H3)</f>
        <v>0</v>
      </c>
      <c r="M4" s="8">
        <f>IF(ROW()=4,"",(H4-H3)/H3*100)</f>
        <v>0</v>
      </c>
    </row>
    <row r="5" spans="1:14">
      <c r="A5" s="3">
        <v>1</v>
      </c>
      <c r="B5" s="83" t="s">
        <v>79</v>
      </c>
      <c r="C5" s="5">
        <v>2547</v>
      </c>
      <c r="D5" s="6">
        <v>1</v>
      </c>
      <c r="E5" s="7">
        <f>C5/SUM($C$4:C$5)</f>
        <v>0</v>
      </c>
      <c r="F5" s="8">
        <f>IF(ROW()=4,"",C5-C4)</f>
        <v>0</v>
      </c>
      <c r="G5" s="8">
        <f>IF(ROW()=4,"",(C5-C4)/C4*100)</f>
        <v>0</v>
      </c>
      <c r="H5" s="9">
        <v>145.6344719277581</v>
      </c>
      <c r="I5" s="10">
        <v>370931</v>
      </c>
      <c r="J5" s="11">
        <v>1</v>
      </c>
      <c r="K5" s="12">
        <f>I5/SUM(I$4:I$5)</f>
        <v>0</v>
      </c>
      <c r="L5" s="13">
        <f>IF(ROW()=4,"",H5-H4)</f>
        <v>0</v>
      </c>
      <c r="M5" s="8">
        <f>IF(ROW()=4,"",(H5-H4)/H4*100)</f>
        <v>0</v>
      </c>
    </row>
    <row r="6" spans="1:14">
      <c r="A6" s="3" t="s">
        <v>12</v>
      </c>
      <c r="B6" s="16"/>
      <c r="C6" s="17">
        <f>SUBTOTAL(9,C4:C5)</f>
        <v>0</v>
      </c>
      <c r="D6" s="16"/>
      <c r="E6" s="18">
        <f>SUBTOTAL(9,E4:E5)</f>
        <v>0</v>
      </c>
      <c r="F6" s="19">
        <f>SUBTOTAL(9,F4:F5)</f>
        <v>0</v>
      </c>
      <c r="G6" s="19">
        <f>SUBTOTAL(9,G4:G5)</f>
        <v>0</v>
      </c>
      <c r="H6" s="20">
        <f>SUBTOTAL(9,H4:H5)</f>
        <v>0</v>
      </c>
      <c r="I6" s="21">
        <f>SUBTOTAL(9,I4:I5)</f>
        <v>0</v>
      </c>
      <c r="J6" s="16"/>
      <c r="K6" s="18">
        <f>SUBTOTAL(9,K4:K5)</f>
        <v>0</v>
      </c>
      <c r="L6" s="22">
        <f>SUBTOTAL(9,L4:L5)</f>
        <v>0</v>
      </c>
      <c r="M6" s="19">
        <f>SUBTOTAL(9,M4:M5)</f>
        <v>0</v>
      </c>
    </row>
  </sheetData>
  <autoFilter ref="A3:M5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Payment Methods</vt:lpstr>
      <vt:lpstr>Top 10 Items</vt:lpstr>
      <vt:lpstr>Bottom 10 Items</vt:lpstr>
      <vt:lpstr>Top Review Ratings</vt:lpstr>
      <vt:lpstr>Top Days</vt:lpstr>
      <vt:lpstr>Top Months</vt:lpstr>
      <vt:lpstr>Top Quarters</vt:lpstr>
      <vt:lpstr>Top Quarter Labels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2025-07-18T13:36:40Z</dcterms:created>
  <dcterms:modified xsi:type="dcterms:W3CDTF">2025-07-18T13:36:40Z</dcterms:modified>
</cp:coreProperties>
</file>