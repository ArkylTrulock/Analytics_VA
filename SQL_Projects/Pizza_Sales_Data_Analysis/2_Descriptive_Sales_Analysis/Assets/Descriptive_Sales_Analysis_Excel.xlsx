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ilb\Data Science\GH_Projects\SQL_Projects\Pizza_Sales_Data_Analysis\2_Descriptive_Sales_Analysis\Assets\"/>
    </mc:Choice>
  </mc:AlternateContent>
  <xr:revisionPtr revIDLastSave="0" documentId="8_{9931D804-D617-4288-972C-8952E5DC44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p 10 Pizza IDs (T S)" sheetId="1" r:id="rId1"/>
    <sheet name="Top 10 Pizza IDs (C)" sheetId="2" r:id="rId2"/>
    <sheet name="Bottom 10 Pizza IDs (T S)" sheetId="3" r:id="rId3"/>
    <sheet name="Bottom 10 Pizza IDs (C)" sheetId="4" r:id="rId4"/>
    <sheet name="Top 10 Pizza Type IDs (T S)" sheetId="5" r:id="rId5"/>
    <sheet name="Top 10 Pizza Type IDs (C)" sheetId="6" r:id="rId6"/>
    <sheet name="Bottom 10 Pizza Type IDs (T S)" sheetId="7" r:id="rId7"/>
    <sheet name="Bottom 10 Pizza Type IDs (C)" sheetId="8" r:id="rId8"/>
    <sheet name="Top 10 Names (T S)" sheetId="9" r:id="rId9"/>
    <sheet name="Top 10 Names (C)" sheetId="10" r:id="rId10"/>
    <sheet name="Bottom 10 Names (T S)" sheetId="11" r:id="rId11"/>
    <sheet name="Bottom 10 Names (C)" sheetId="12" r:id="rId12"/>
    <sheet name="Top Categories (T S)" sheetId="13" r:id="rId13"/>
    <sheet name="Top Sizes (T S)" sheetId="14" r:id="rId14"/>
    <sheet name="Top 10 Dates (T S)" sheetId="15" r:id="rId15"/>
    <sheet name="Top 10 Dates (T S (D A))" sheetId="16" r:id="rId16"/>
    <sheet name="Top 10 Dates (C)" sheetId="17" r:id="rId17"/>
    <sheet name="Top 10 Dates (C (D A))" sheetId="18" r:id="rId18"/>
    <sheet name="Top 10 Order Times (T S)" sheetId="19" r:id="rId19"/>
    <sheet name="Top 10 Order Times (T S (T A))" sheetId="20" r:id="rId20"/>
    <sheet name="Top 10 Order Times (C)" sheetId="21" r:id="rId21"/>
    <sheet name="Top 10 Order Times (C (T A))" sheetId="22" r:id="rId22"/>
    <sheet name="Top 10 Order Hours (T S)" sheetId="23" r:id="rId23"/>
    <sheet name="Top 10 Order Hours (T S (H A))" sheetId="24" r:id="rId24"/>
    <sheet name="Top 10 Order Hours (C)" sheetId="25" r:id="rId25"/>
    <sheet name="Top 10 Order Hours (C (H A))" sheetId="26" r:id="rId26"/>
    <sheet name="Top Days" sheetId="27" r:id="rId27"/>
    <sheet name="Top Months" sheetId="28" r:id="rId28"/>
    <sheet name="Top Quarters" sheetId="29" r:id="rId29"/>
    <sheet name="Top Years" sheetId="30" r:id="rId30"/>
  </sheets>
  <definedNames>
    <definedName name="_xlnm._FilterDatabase" localSheetId="11" hidden="1">'Bottom 10 Names (C)'!$A$3:$M$12</definedName>
    <definedName name="_xlnm._FilterDatabase" localSheetId="10" hidden="1">'Bottom 10 Names (T S)'!$A$3:$M$12</definedName>
    <definedName name="_xlnm._FilterDatabase" localSheetId="3" hidden="1">'Bottom 10 Pizza IDs (C)'!$A$3:$M$12</definedName>
    <definedName name="_xlnm._FilterDatabase" localSheetId="2" hidden="1">'Bottom 10 Pizza IDs (T S)'!$A$3:$M$12</definedName>
    <definedName name="_xlnm._FilterDatabase" localSheetId="7" hidden="1">'Bottom 10 Pizza Type IDs (C)'!$A$3:$M$12</definedName>
    <definedName name="_xlnm._FilterDatabase" localSheetId="6" hidden="1">'Bottom 10 Pizza Type IDs (T S)'!$A$3:$M$12</definedName>
    <definedName name="_xlnm._FilterDatabase" localSheetId="17" hidden="1">'Top 10 Dates (C (D A))'!$A$3:$M$12</definedName>
    <definedName name="_xlnm._FilterDatabase" localSheetId="16" hidden="1">'Top 10 Dates (C)'!$A$3:$M$12</definedName>
    <definedName name="_xlnm._FilterDatabase" localSheetId="15" hidden="1">'Top 10 Dates (T S (D A))'!$A$3:$M$12</definedName>
    <definedName name="_xlnm._FilterDatabase" localSheetId="14" hidden="1">'Top 10 Dates (T S)'!$A$3:$M$12</definedName>
    <definedName name="_xlnm._FilterDatabase" localSheetId="9" hidden="1">'Top 10 Names (C)'!$A$3:$M$12</definedName>
    <definedName name="_xlnm._FilterDatabase" localSheetId="8" hidden="1">'Top 10 Names (T S)'!$A$3:$M$12</definedName>
    <definedName name="_xlnm._FilterDatabase" localSheetId="25" hidden="1">'Top 10 Order Hours (C (H A))'!$A$3:$M$12</definedName>
    <definedName name="_xlnm._FilterDatabase" localSheetId="24" hidden="1">'Top 10 Order Hours (C)'!$A$3:$M$12</definedName>
    <definedName name="_xlnm._FilterDatabase" localSheetId="23" hidden="1">'Top 10 Order Hours (T S (H A))'!$A$3:$M$12</definedName>
    <definedName name="_xlnm._FilterDatabase" localSheetId="22" hidden="1">'Top 10 Order Hours (T S)'!$A$3:$M$12</definedName>
    <definedName name="_xlnm._FilterDatabase" localSheetId="21" hidden="1">'Top 10 Order Times (C (T A))'!$A$3:$M$50</definedName>
    <definedName name="_xlnm._FilterDatabase" localSheetId="20" hidden="1">'Top 10 Order Times (C)'!$A$3:$M$50</definedName>
    <definedName name="_xlnm._FilterDatabase" localSheetId="19" hidden="1">'Top 10 Order Times (T S (T A))'!$A$3:$M$12</definedName>
    <definedName name="_xlnm._FilterDatabase" localSheetId="18" hidden="1">'Top 10 Order Times (T S)'!$A$3:$M$12</definedName>
    <definedName name="_xlnm._FilterDatabase" localSheetId="1" hidden="1">'Top 10 Pizza IDs (C)'!$A$3:$M$12</definedName>
    <definedName name="_xlnm._FilterDatabase" localSheetId="0" hidden="1">'Top 10 Pizza IDs (T S)'!$A$3:$M$12</definedName>
    <definedName name="_xlnm._FilterDatabase" localSheetId="5" hidden="1">'Top 10 Pizza Type IDs (C)'!$A$3:$M$12</definedName>
    <definedName name="_xlnm._FilterDatabase" localSheetId="4" hidden="1">'Top 10 Pizza Type IDs (T S)'!$A$3:$M$12</definedName>
    <definedName name="_xlnm._FilterDatabase" localSheetId="12" hidden="1">'Top Categories (T S)'!$A$3:$M$6</definedName>
    <definedName name="_xlnm._FilterDatabase" localSheetId="26" hidden="1">'Top Days'!$A$3:$M$9</definedName>
    <definedName name="_xlnm._FilterDatabase" localSheetId="27" hidden="1">'Top Months'!$A$3:$M$14</definedName>
    <definedName name="_xlnm._FilterDatabase" localSheetId="28" hidden="1">'Top Quarters'!$A$3:$M$6</definedName>
    <definedName name="_xlnm._FilterDatabase" localSheetId="13" hidden="1">'Top Sizes (T S)'!$A$3:$M$7</definedName>
    <definedName name="_xlnm._FilterDatabase" localSheetId="29" hidden="1">'Top Years'!$A$3:$M$3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9" l="1"/>
  <c r="K7" i="29"/>
  <c r="I7" i="29"/>
  <c r="H7" i="29"/>
  <c r="E7" i="29"/>
  <c r="C7" i="29"/>
  <c r="M6" i="29"/>
  <c r="L6" i="29"/>
  <c r="G6" i="29"/>
  <c r="F6" i="29"/>
  <c r="M5" i="29"/>
  <c r="L5" i="29"/>
  <c r="G5" i="29"/>
  <c r="F5" i="29"/>
  <c r="M4" i="29"/>
  <c r="M7" i="29" s="1"/>
  <c r="L4" i="29"/>
  <c r="G4" i="29"/>
  <c r="G7" i="29" s="1"/>
  <c r="F4" i="29"/>
  <c r="F7" i="29" s="1"/>
  <c r="K15" i="28"/>
  <c r="I15" i="28"/>
  <c r="H15" i="28"/>
  <c r="E15" i="28"/>
  <c r="C15" i="28"/>
  <c r="M14" i="28"/>
  <c r="L14" i="28"/>
  <c r="G14" i="28"/>
  <c r="F14" i="28"/>
  <c r="M13" i="28"/>
  <c r="L13" i="28"/>
  <c r="G13" i="28"/>
  <c r="F13" i="28"/>
  <c r="M12" i="28"/>
  <c r="L12" i="28"/>
  <c r="G12" i="28"/>
  <c r="F12" i="28"/>
  <c r="M11" i="28"/>
  <c r="L11" i="28"/>
  <c r="G11" i="28"/>
  <c r="F11" i="28"/>
  <c r="M10" i="28"/>
  <c r="L10" i="28"/>
  <c r="G10" i="28"/>
  <c r="F10" i="28"/>
  <c r="M9" i="28"/>
  <c r="L9" i="28"/>
  <c r="G9" i="28"/>
  <c r="F9" i="28"/>
  <c r="M8" i="28"/>
  <c r="L8" i="28"/>
  <c r="G8" i="28"/>
  <c r="F8" i="28"/>
  <c r="M7" i="28"/>
  <c r="L7" i="28"/>
  <c r="G7" i="28"/>
  <c r="F7" i="28"/>
  <c r="M6" i="28"/>
  <c r="L6" i="28"/>
  <c r="G6" i="28"/>
  <c r="F6" i="28"/>
  <c r="M5" i="28"/>
  <c r="L5" i="28"/>
  <c r="G5" i="28"/>
  <c r="F5" i="28"/>
  <c r="M4" i="28"/>
  <c r="M15" i="28" s="1"/>
  <c r="L4" i="28"/>
  <c r="L15" i="28" s="1"/>
  <c r="G4" i="28"/>
  <c r="G15" i="28" s="1"/>
  <c r="F4" i="28"/>
  <c r="F15" i="28" s="1"/>
  <c r="K10" i="27"/>
  <c r="I10" i="27"/>
  <c r="H10" i="27"/>
  <c r="G10" i="27"/>
  <c r="E10" i="27"/>
  <c r="C10" i="27"/>
  <c r="M9" i="27"/>
  <c r="L9" i="27"/>
  <c r="G9" i="27"/>
  <c r="F9" i="27"/>
  <c r="M8" i="27"/>
  <c r="L8" i="27"/>
  <c r="G8" i="27"/>
  <c r="F8" i="27"/>
  <c r="M7" i="27"/>
  <c r="L7" i="27"/>
  <c r="G7" i="27"/>
  <c r="F7" i="27"/>
  <c r="M6" i="27"/>
  <c r="L6" i="27"/>
  <c r="G6" i="27"/>
  <c r="F6" i="27"/>
  <c r="M5" i="27"/>
  <c r="L5" i="27"/>
  <c r="L10" i="27" s="1"/>
  <c r="G5" i="27"/>
  <c r="F5" i="27"/>
  <c r="M4" i="27"/>
  <c r="M10" i="27" s="1"/>
  <c r="L4" i="27"/>
  <c r="G4" i="27"/>
  <c r="F4" i="27"/>
  <c r="F10" i="27" s="1"/>
  <c r="K13" i="26"/>
  <c r="I13" i="26"/>
  <c r="H13" i="26"/>
  <c r="E13" i="26"/>
  <c r="C13" i="26"/>
  <c r="M12" i="26"/>
  <c r="L12" i="26"/>
  <c r="G12" i="26"/>
  <c r="F12" i="26"/>
  <c r="M11" i="26"/>
  <c r="L11" i="26"/>
  <c r="G11" i="26"/>
  <c r="F11" i="26"/>
  <c r="M10" i="26"/>
  <c r="L10" i="26"/>
  <c r="G10" i="26"/>
  <c r="F10" i="26"/>
  <c r="M9" i="26"/>
  <c r="L9" i="26"/>
  <c r="G9" i="26"/>
  <c r="F9" i="26"/>
  <c r="M8" i="26"/>
  <c r="L8" i="26"/>
  <c r="G8" i="26"/>
  <c r="F8" i="26"/>
  <c r="M7" i="26"/>
  <c r="L7" i="26"/>
  <c r="G7" i="26"/>
  <c r="F7" i="26"/>
  <c r="M6" i="26"/>
  <c r="L6" i="26"/>
  <c r="L13" i="26" s="1"/>
  <c r="G6" i="26"/>
  <c r="F6" i="26"/>
  <c r="M5" i="26"/>
  <c r="L5" i="26"/>
  <c r="G5" i="26"/>
  <c r="F5" i="26"/>
  <c r="F13" i="26" s="1"/>
  <c r="M4" i="26"/>
  <c r="M13" i="26" s="1"/>
  <c r="L4" i="26"/>
  <c r="G4" i="26"/>
  <c r="G13" i="26" s="1"/>
  <c r="F4" i="26"/>
  <c r="K13" i="25"/>
  <c r="I13" i="25"/>
  <c r="H13" i="25"/>
  <c r="E13" i="25"/>
  <c r="C13" i="25"/>
  <c r="M12" i="25"/>
  <c r="L12" i="25"/>
  <c r="G12" i="25"/>
  <c r="F12" i="25"/>
  <c r="M11" i="25"/>
  <c r="L11" i="25"/>
  <c r="G11" i="25"/>
  <c r="F11" i="25"/>
  <c r="M10" i="25"/>
  <c r="L10" i="25"/>
  <c r="G10" i="25"/>
  <c r="F10" i="25"/>
  <c r="M9" i="25"/>
  <c r="L9" i="25"/>
  <c r="G9" i="25"/>
  <c r="F9" i="25"/>
  <c r="M8" i="25"/>
  <c r="L8" i="25"/>
  <c r="G8" i="25"/>
  <c r="F8" i="25"/>
  <c r="M7" i="25"/>
  <c r="L7" i="25"/>
  <c r="G7" i="25"/>
  <c r="F7" i="25"/>
  <c r="M6" i="25"/>
  <c r="L6" i="25"/>
  <c r="G6" i="25"/>
  <c r="F6" i="25"/>
  <c r="M5" i="25"/>
  <c r="L5" i="25"/>
  <c r="G5" i="25"/>
  <c r="F5" i="25"/>
  <c r="M4" i="25"/>
  <c r="M13" i="25" s="1"/>
  <c r="L4" i="25"/>
  <c r="L13" i="25" s="1"/>
  <c r="G4" i="25"/>
  <c r="G13" i="25" s="1"/>
  <c r="F4" i="25"/>
  <c r="F13" i="25" s="1"/>
  <c r="K13" i="24"/>
  <c r="I13" i="24"/>
  <c r="H13" i="24"/>
  <c r="E13" i="24"/>
  <c r="C13" i="24"/>
  <c r="M12" i="24"/>
  <c r="L12" i="24"/>
  <c r="G12" i="24"/>
  <c r="F12" i="24"/>
  <c r="M11" i="24"/>
  <c r="L11" i="24"/>
  <c r="G11" i="24"/>
  <c r="F11" i="24"/>
  <c r="M10" i="24"/>
  <c r="L10" i="24"/>
  <c r="G10" i="24"/>
  <c r="F10" i="24"/>
  <c r="M9" i="24"/>
  <c r="L9" i="24"/>
  <c r="G9" i="24"/>
  <c r="F9" i="24"/>
  <c r="M8" i="24"/>
  <c r="L8" i="24"/>
  <c r="G8" i="24"/>
  <c r="F8" i="24"/>
  <c r="M7" i="24"/>
  <c r="L7" i="24"/>
  <c r="G7" i="24"/>
  <c r="F7" i="24"/>
  <c r="M6" i="24"/>
  <c r="L6" i="24"/>
  <c r="G6" i="24"/>
  <c r="F6" i="24"/>
  <c r="M5" i="24"/>
  <c r="L5" i="24"/>
  <c r="G5" i="24"/>
  <c r="G13" i="24" s="1"/>
  <c r="F5" i="24"/>
  <c r="M4" i="24"/>
  <c r="M13" i="24" s="1"/>
  <c r="L4" i="24"/>
  <c r="L13" i="24" s="1"/>
  <c r="G4" i="24"/>
  <c r="F4" i="24"/>
  <c r="F13" i="24" s="1"/>
  <c r="K13" i="23"/>
  <c r="I13" i="23"/>
  <c r="H13" i="23"/>
  <c r="E13" i="23"/>
  <c r="C13" i="23"/>
  <c r="M12" i="23"/>
  <c r="L12" i="23"/>
  <c r="G12" i="23"/>
  <c r="F12" i="23"/>
  <c r="M11" i="23"/>
  <c r="L11" i="23"/>
  <c r="G11" i="23"/>
  <c r="F11" i="23"/>
  <c r="M10" i="23"/>
  <c r="L10" i="23"/>
  <c r="G10" i="23"/>
  <c r="F10" i="23"/>
  <c r="M9" i="23"/>
  <c r="L9" i="23"/>
  <c r="G9" i="23"/>
  <c r="F9" i="23"/>
  <c r="M8" i="23"/>
  <c r="L8" i="23"/>
  <c r="G8" i="23"/>
  <c r="F8" i="23"/>
  <c r="M7" i="23"/>
  <c r="L7" i="23"/>
  <c r="G7" i="23"/>
  <c r="F7" i="23"/>
  <c r="M6" i="23"/>
  <c r="M13" i="23" s="1"/>
  <c r="L6" i="23"/>
  <c r="L13" i="23" s="1"/>
  <c r="G6" i="23"/>
  <c r="F6" i="23"/>
  <c r="M5" i="23"/>
  <c r="L5" i="23"/>
  <c r="G5" i="23"/>
  <c r="F5" i="23"/>
  <c r="M4" i="23"/>
  <c r="L4" i="23"/>
  <c r="G4" i="23"/>
  <c r="G13" i="23" s="1"/>
  <c r="F4" i="23"/>
  <c r="F13" i="23" s="1"/>
  <c r="K51" i="22"/>
  <c r="I51" i="22"/>
  <c r="H51" i="22"/>
  <c r="G51" i="22"/>
  <c r="E51" i="22"/>
  <c r="C51" i="22"/>
  <c r="M50" i="22"/>
  <c r="L50" i="22"/>
  <c r="G50" i="22"/>
  <c r="F50" i="22"/>
  <c r="M49" i="22"/>
  <c r="L49" i="22"/>
  <c r="G49" i="22"/>
  <c r="F49" i="22"/>
  <c r="M48" i="22"/>
  <c r="L48" i="22"/>
  <c r="G48" i="22"/>
  <c r="F48" i="22"/>
  <c r="M47" i="22"/>
  <c r="L47" i="22"/>
  <c r="G47" i="22"/>
  <c r="F47" i="22"/>
  <c r="M46" i="22"/>
  <c r="L46" i="22"/>
  <c r="G46" i="22"/>
  <c r="F46" i="22"/>
  <c r="M45" i="22"/>
  <c r="L45" i="22"/>
  <c r="G45" i="22"/>
  <c r="F45" i="22"/>
  <c r="M44" i="22"/>
  <c r="L44" i="22"/>
  <c r="G44" i="22"/>
  <c r="F44" i="22"/>
  <c r="M43" i="22"/>
  <c r="L43" i="22"/>
  <c r="G43" i="22"/>
  <c r="F43" i="22"/>
  <c r="M42" i="22"/>
  <c r="L42" i="22"/>
  <c r="G42" i="22"/>
  <c r="F42" i="22"/>
  <c r="M41" i="22"/>
  <c r="L41" i="22"/>
  <c r="G41" i="22"/>
  <c r="F41" i="22"/>
  <c r="M40" i="22"/>
  <c r="L40" i="22"/>
  <c r="G40" i="22"/>
  <c r="F40" i="22"/>
  <c r="M39" i="22"/>
  <c r="L39" i="22"/>
  <c r="G39" i="22"/>
  <c r="F39" i="22"/>
  <c r="M38" i="22"/>
  <c r="L38" i="22"/>
  <c r="G38" i="22"/>
  <c r="F38" i="22"/>
  <c r="M37" i="22"/>
  <c r="L37" i="22"/>
  <c r="G37" i="22"/>
  <c r="F37" i="22"/>
  <c r="M36" i="22"/>
  <c r="L36" i="22"/>
  <c r="G36" i="22"/>
  <c r="F36" i="22"/>
  <c r="M35" i="22"/>
  <c r="L35" i="22"/>
  <c r="G35" i="22"/>
  <c r="F35" i="22"/>
  <c r="M34" i="22"/>
  <c r="L34" i="22"/>
  <c r="G34" i="22"/>
  <c r="F34" i="22"/>
  <c r="M33" i="22"/>
  <c r="L33" i="22"/>
  <c r="G33" i="22"/>
  <c r="F33" i="22"/>
  <c r="M32" i="22"/>
  <c r="L32" i="22"/>
  <c r="G32" i="22"/>
  <c r="F32" i="22"/>
  <c r="M31" i="22"/>
  <c r="L31" i="22"/>
  <c r="G31" i="22"/>
  <c r="F31" i="22"/>
  <c r="M30" i="22"/>
  <c r="L30" i="22"/>
  <c r="G30" i="22"/>
  <c r="F30" i="22"/>
  <c r="M29" i="22"/>
  <c r="L29" i="22"/>
  <c r="G29" i="22"/>
  <c r="F29" i="22"/>
  <c r="M28" i="22"/>
  <c r="L28" i="22"/>
  <c r="G28" i="22"/>
  <c r="F28" i="22"/>
  <c r="M27" i="22"/>
  <c r="L27" i="22"/>
  <c r="G27" i="22"/>
  <c r="F27" i="22"/>
  <c r="M26" i="22"/>
  <c r="L26" i="22"/>
  <c r="G26" i="22"/>
  <c r="F26" i="22"/>
  <c r="M25" i="22"/>
  <c r="L25" i="22"/>
  <c r="G25" i="22"/>
  <c r="F25" i="22"/>
  <c r="M24" i="22"/>
  <c r="L24" i="22"/>
  <c r="G24" i="22"/>
  <c r="F24" i="22"/>
  <c r="M23" i="22"/>
  <c r="L23" i="22"/>
  <c r="G23" i="22"/>
  <c r="F23" i="22"/>
  <c r="M22" i="22"/>
  <c r="L22" i="22"/>
  <c r="G22" i="22"/>
  <c r="F22" i="22"/>
  <c r="M21" i="22"/>
  <c r="L21" i="22"/>
  <c r="G21" i="22"/>
  <c r="F21" i="22"/>
  <c r="M20" i="22"/>
  <c r="L20" i="22"/>
  <c r="G20" i="22"/>
  <c r="F20" i="22"/>
  <c r="M19" i="22"/>
  <c r="L19" i="22"/>
  <c r="G19" i="22"/>
  <c r="F19" i="22"/>
  <c r="M18" i="22"/>
  <c r="L18" i="22"/>
  <c r="G18" i="22"/>
  <c r="F18" i="22"/>
  <c r="M17" i="22"/>
  <c r="L17" i="22"/>
  <c r="G17" i="22"/>
  <c r="F17" i="22"/>
  <c r="M16" i="22"/>
  <c r="L16" i="22"/>
  <c r="G16" i="22"/>
  <c r="F16" i="22"/>
  <c r="M15" i="22"/>
  <c r="L15" i="22"/>
  <c r="G15" i="22"/>
  <c r="F15" i="22"/>
  <c r="M14" i="22"/>
  <c r="L14" i="22"/>
  <c r="G14" i="22"/>
  <c r="F14" i="22"/>
  <c r="M13" i="22"/>
  <c r="L13" i="22"/>
  <c r="G13" i="22"/>
  <c r="F13" i="22"/>
  <c r="M12" i="22"/>
  <c r="L12" i="22"/>
  <c r="G12" i="22"/>
  <c r="F12" i="22"/>
  <c r="M11" i="22"/>
  <c r="L11" i="22"/>
  <c r="G11" i="22"/>
  <c r="F11" i="22"/>
  <c r="M10" i="22"/>
  <c r="L10" i="22"/>
  <c r="G10" i="22"/>
  <c r="F10" i="22"/>
  <c r="M9" i="22"/>
  <c r="L9" i="22"/>
  <c r="G9" i="22"/>
  <c r="F9" i="22"/>
  <c r="M8" i="22"/>
  <c r="L8" i="22"/>
  <c r="G8" i="22"/>
  <c r="F8" i="22"/>
  <c r="M7" i="22"/>
  <c r="M51" i="22" s="1"/>
  <c r="L7" i="22"/>
  <c r="G7" i="22"/>
  <c r="F7" i="22"/>
  <c r="M6" i="22"/>
  <c r="L6" i="22"/>
  <c r="G6" i="22"/>
  <c r="F6" i="22"/>
  <c r="M5" i="22"/>
  <c r="L5" i="22"/>
  <c r="G5" i="22"/>
  <c r="F5" i="22"/>
  <c r="M4" i="22"/>
  <c r="L4" i="22"/>
  <c r="L51" i="22" s="1"/>
  <c r="G4" i="22"/>
  <c r="F4" i="22"/>
  <c r="F51" i="22" s="1"/>
  <c r="M51" i="21"/>
  <c r="K51" i="21"/>
  <c r="I51" i="21"/>
  <c r="H51" i="21"/>
  <c r="E51" i="21"/>
  <c r="C51" i="21"/>
  <c r="M50" i="21"/>
  <c r="L50" i="21"/>
  <c r="G50" i="21"/>
  <c r="F50" i="21"/>
  <c r="M49" i="21"/>
  <c r="L49" i="21"/>
  <c r="G49" i="21"/>
  <c r="F49" i="21"/>
  <c r="M48" i="21"/>
  <c r="L48" i="21"/>
  <c r="G48" i="21"/>
  <c r="F48" i="21"/>
  <c r="M47" i="21"/>
  <c r="L47" i="21"/>
  <c r="G47" i="21"/>
  <c r="F47" i="21"/>
  <c r="M46" i="21"/>
  <c r="L46" i="21"/>
  <c r="G46" i="21"/>
  <c r="F46" i="21"/>
  <c r="M45" i="21"/>
  <c r="L45" i="21"/>
  <c r="G45" i="21"/>
  <c r="F45" i="21"/>
  <c r="M44" i="21"/>
  <c r="L44" i="21"/>
  <c r="G44" i="21"/>
  <c r="F44" i="21"/>
  <c r="M43" i="21"/>
  <c r="L43" i="21"/>
  <c r="G43" i="21"/>
  <c r="F43" i="21"/>
  <c r="M42" i="21"/>
  <c r="L42" i="21"/>
  <c r="G42" i="21"/>
  <c r="F42" i="21"/>
  <c r="M41" i="21"/>
  <c r="L41" i="21"/>
  <c r="G41" i="21"/>
  <c r="F41" i="21"/>
  <c r="M40" i="21"/>
  <c r="L40" i="21"/>
  <c r="G40" i="21"/>
  <c r="F40" i="21"/>
  <c r="M39" i="21"/>
  <c r="L39" i="21"/>
  <c r="G39" i="21"/>
  <c r="F39" i="21"/>
  <c r="M38" i="21"/>
  <c r="L38" i="21"/>
  <c r="G38" i="21"/>
  <c r="F38" i="21"/>
  <c r="M37" i="21"/>
  <c r="L37" i="21"/>
  <c r="G37" i="21"/>
  <c r="F37" i="21"/>
  <c r="M36" i="21"/>
  <c r="L36" i="21"/>
  <c r="G36" i="21"/>
  <c r="F36" i="21"/>
  <c r="M35" i="21"/>
  <c r="L35" i="21"/>
  <c r="G35" i="21"/>
  <c r="F35" i="21"/>
  <c r="M34" i="21"/>
  <c r="L34" i="21"/>
  <c r="G34" i="21"/>
  <c r="F34" i="21"/>
  <c r="M33" i="21"/>
  <c r="L33" i="21"/>
  <c r="G33" i="21"/>
  <c r="F33" i="21"/>
  <c r="M32" i="21"/>
  <c r="L32" i="21"/>
  <c r="G32" i="21"/>
  <c r="F32" i="21"/>
  <c r="M31" i="21"/>
  <c r="L31" i="21"/>
  <c r="G31" i="21"/>
  <c r="F31" i="21"/>
  <c r="M30" i="21"/>
  <c r="L30" i="21"/>
  <c r="G30" i="21"/>
  <c r="F30" i="21"/>
  <c r="M29" i="21"/>
  <c r="L29" i="21"/>
  <c r="G29" i="21"/>
  <c r="F29" i="21"/>
  <c r="M28" i="21"/>
  <c r="L28" i="21"/>
  <c r="G28" i="21"/>
  <c r="F28" i="21"/>
  <c r="M27" i="21"/>
  <c r="L27" i="21"/>
  <c r="G27" i="21"/>
  <c r="F27" i="21"/>
  <c r="M26" i="21"/>
  <c r="L26" i="21"/>
  <c r="G26" i="21"/>
  <c r="F26" i="21"/>
  <c r="M25" i="21"/>
  <c r="L25" i="21"/>
  <c r="G25" i="21"/>
  <c r="F25" i="21"/>
  <c r="M24" i="21"/>
  <c r="L24" i="21"/>
  <c r="G24" i="21"/>
  <c r="F24" i="21"/>
  <c r="M23" i="21"/>
  <c r="L23" i="21"/>
  <c r="G23" i="21"/>
  <c r="F23" i="21"/>
  <c r="M22" i="21"/>
  <c r="L22" i="21"/>
  <c r="G22" i="21"/>
  <c r="F22" i="21"/>
  <c r="M21" i="21"/>
  <c r="L21" i="21"/>
  <c r="G21" i="21"/>
  <c r="F21" i="21"/>
  <c r="M20" i="21"/>
  <c r="L20" i="21"/>
  <c r="G20" i="21"/>
  <c r="F20" i="21"/>
  <c r="M19" i="21"/>
  <c r="L19" i="21"/>
  <c r="G19" i="21"/>
  <c r="F19" i="21"/>
  <c r="M18" i="21"/>
  <c r="L18" i="21"/>
  <c r="G18" i="21"/>
  <c r="F18" i="21"/>
  <c r="M17" i="21"/>
  <c r="L17" i="21"/>
  <c r="G17" i="21"/>
  <c r="F17" i="21"/>
  <c r="M16" i="21"/>
  <c r="L16" i="21"/>
  <c r="G16" i="21"/>
  <c r="F16" i="21"/>
  <c r="M15" i="21"/>
  <c r="L15" i="21"/>
  <c r="G15" i="21"/>
  <c r="F15" i="21"/>
  <c r="M14" i="21"/>
  <c r="L14" i="21"/>
  <c r="G14" i="21"/>
  <c r="F14" i="21"/>
  <c r="M13" i="21"/>
  <c r="L13" i="21"/>
  <c r="G13" i="21"/>
  <c r="F13" i="21"/>
  <c r="M12" i="21"/>
  <c r="L12" i="21"/>
  <c r="G12" i="21"/>
  <c r="F12" i="21"/>
  <c r="M11" i="21"/>
  <c r="L11" i="21"/>
  <c r="G11" i="21"/>
  <c r="F11" i="21"/>
  <c r="M10" i="21"/>
  <c r="L10" i="21"/>
  <c r="G10" i="21"/>
  <c r="F10" i="21"/>
  <c r="M9" i="21"/>
  <c r="L9" i="21"/>
  <c r="G9" i="21"/>
  <c r="F9" i="21"/>
  <c r="M8" i="21"/>
  <c r="L8" i="21"/>
  <c r="G8" i="21"/>
  <c r="F8" i="21"/>
  <c r="M7" i="21"/>
  <c r="L7" i="21"/>
  <c r="G7" i="21"/>
  <c r="F7" i="21"/>
  <c r="M6" i="21"/>
  <c r="L6" i="21"/>
  <c r="G6" i="21"/>
  <c r="F6" i="21"/>
  <c r="M5" i="21"/>
  <c r="L5" i="21"/>
  <c r="G5" i="21"/>
  <c r="G51" i="21" s="1"/>
  <c r="F5" i="21"/>
  <c r="M4" i="21"/>
  <c r="L4" i="21"/>
  <c r="L51" i="21" s="1"/>
  <c r="G4" i="21"/>
  <c r="F4" i="21"/>
  <c r="F51" i="21" s="1"/>
  <c r="K13" i="20"/>
  <c r="I13" i="20"/>
  <c r="H13" i="20"/>
  <c r="F13" i="20"/>
  <c r="E13" i="20"/>
  <c r="C13" i="20"/>
  <c r="M12" i="20"/>
  <c r="L12" i="20"/>
  <c r="G12" i="20"/>
  <c r="F12" i="20"/>
  <c r="M11" i="20"/>
  <c r="L11" i="20"/>
  <c r="G11" i="20"/>
  <c r="F11" i="20"/>
  <c r="M10" i="20"/>
  <c r="L10" i="20"/>
  <c r="G10" i="20"/>
  <c r="F10" i="20"/>
  <c r="M9" i="20"/>
  <c r="L9" i="20"/>
  <c r="G9" i="20"/>
  <c r="F9" i="20"/>
  <c r="M8" i="20"/>
  <c r="L8" i="20"/>
  <c r="G8" i="20"/>
  <c r="F8" i="20"/>
  <c r="M7" i="20"/>
  <c r="L7" i="20"/>
  <c r="G7" i="20"/>
  <c r="F7" i="20"/>
  <c r="M6" i="20"/>
  <c r="L6" i="20"/>
  <c r="G6" i="20"/>
  <c r="F6" i="20"/>
  <c r="M5" i="20"/>
  <c r="L5" i="20"/>
  <c r="G5" i="20"/>
  <c r="F5" i="20"/>
  <c r="M4" i="20"/>
  <c r="M13" i="20" s="1"/>
  <c r="L4" i="20"/>
  <c r="L13" i="20" s="1"/>
  <c r="G4" i="20"/>
  <c r="G13" i="20" s="1"/>
  <c r="F4" i="20"/>
  <c r="K13" i="19"/>
  <c r="I13" i="19"/>
  <c r="H13" i="19"/>
  <c r="E13" i="19"/>
  <c r="C13" i="19"/>
  <c r="M12" i="19"/>
  <c r="L12" i="19"/>
  <c r="G12" i="19"/>
  <c r="F12" i="19"/>
  <c r="M11" i="19"/>
  <c r="L11" i="19"/>
  <c r="G11" i="19"/>
  <c r="F11" i="19"/>
  <c r="M10" i="19"/>
  <c r="L10" i="19"/>
  <c r="G10" i="19"/>
  <c r="F10" i="19"/>
  <c r="M9" i="19"/>
  <c r="L9" i="19"/>
  <c r="G9" i="19"/>
  <c r="F9" i="19"/>
  <c r="M8" i="19"/>
  <c r="L8" i="19"/>
  <c r="G8" i="19"/>
  <c r="F8" i="19"/>
  <c r="M7" i="19"/>
  <c r="L7" i="19"/>
  <c r="G7" i="19"/>
  <c r="F7" i="19"/>
  <c r="M6" i="19"/>
  <c r="L6" i="19"/>
  <c r="G6" i="19"/>
  <c r="F6" i="19"/>
  <c r="M5" i="19"/>
  <c r="L5" i="19"/>
  <c r="L13" i="19" s="1"/>
  <c r="G5" i="19"/>
  <c r="F5" i="19"/>
  <c r="M4" i="19"/>
  <c r="M13" i="19" s="1"/>
  <c r="L4" i="19"/>
  <c r="G4" i="19"/>
  <c r="G13" i="19" s="1"/>
  <c r="F4" i="19"/>
  <c r="F13" i="19" s="1"/>
  <c r="L13" i="18"/>
  <c r="K13" i="18"/>
  <c r="I13" i="18"/>
  <c r="H13" i="18"/>
  <c r="E13" i="18"/>
  <c r="C13" i="18"/>
  <c r="M12" i="18"/>
  <c r="L12" i="18"/>
  <c r="G12" i="18"/>
  <c r="F12" i="18"/>
  <c r="M11" i="18"/>
  <c r="L11" i="18"/>
  <c r="G11" i="18"/>
  <c r="F11" i="18"/>
  <c r="M10" i="18"/>
  <c r="L10" i="18"/>
  <c r="G10" i="18"/>
  <c r="F10" i="18"/>
  <c r="M9" i="18"/>
  <c r="L9" i="18"/>
  <c r="G9" i="18"/>
  <c r="F9" i="18"/>
  <c r="M8" i="18"/>
  <c r="L8" i="18"/>
  <c r="G8" i="18"/>
  <c r="F8" i="18"/>
  <c r="M7" i="18"/>
  <c r="L7" i="18"/>
  <c r="G7" i="18"/>
  <c r="F7" i="18"/>
  <c r="M6" i="18"/>
  <c r="M13" i="18" s="1"/>
  <c r="L6" i="18"/>
  <c r="G6" i="18"/>
  <c r="F6" i="18"/>
  <c r="M5" i="18"/>
  <c r="L5" i="18"/>
  <c r="G5" i="18"/>
  <c r="F5" i="18"/>
  <c r="M4" i="18"/>
  <c r="L4" i="18"/>
  <c r="G4" i="18"/>
  <c r="G13" i="18" s="1"/>
  <c r="F4" i="18"/>
  <c r="F13" i="18" s="1"/>
  <c r="K13" i="17"/>
  <c r="I13" i="17"/>
  <c r="H13" i="17"/>
  <c r="E13" i="17"/>
  <c r="C13" i="17"/>
  <c r="M12" i="17"/>
  <c r="L12" i="17"/>
  <c r="G12" i="17"/>
  <c r="F12" i="17"/>
  <c r="M11" i="17"/>
  <c r="L11" i="17"/>
  <c r="G11" i="17"/>
  <c r="F11" i="17"/>
  <c r="M10" i="17"/>
  <c r="L10" i="17"/>
  <c r="G10" i="17"/>
  <c r="F10" i="17"/>
  <c r="M9" i="17"/>
  <c r="L9" i="17"/>
  <c r="G9" i="17"/>
  <c r="F9" i="17"/>
  <c r="M8" i="17"/>
  <c r="L8" i="17"/>
  <c r="G8" i="17"/>
  <c r="F8" i="17"/>
  <c r="M7" i="17"/>
  <c r="L7" i="17"/>
  <c r="G7" i="17"/>
  <c r="F7" i="17"/>
  <c r="M6" i="17"/>
  <c r="L6" i="17"/>
  <c r="L13" i="17" s="1"/>
  <c r="G6" i="17"/>
  <c r="F6" i="17"/>
  <c r="M5" i="17"/>
  <c r="L5" i="17"/>
  <c r="G5" i="17"/>
  <c r="F5" i="17"/>
  <c r="M4" i="17"/>
  <c r="M13" i="17" s="1"/>
  <c r="L4" i="17"/>
  <c r="G4" i="17"/>
  <c r="G13" i="17" s="1"/>
  <c r="F4" i="17"/>
  <c r="F13" i="17" s="1"/>
  <c r="K13" i="16"/>
  <c r="I13" i="16"/>
  <c r="H13" i="16"/>
  <c r="F13" i="16"/>
  <c r="E13" i="16"/>
  <c r="C13" i="16"/>
  <c r="M12" i="16"/>
  <c r="L12" i="16"/>
  <c r="G12" i="16"/>
  <c r="F12" i="16"/>
  <c r="M11" i="16"/>
  <c r="L11" i="16"/>
  <c r="G11" i="16"/>
  <c r="F11" i="16"/>
  <c r="M10" i="16"/>
  <c r="L10" i="16"/>
  <c r="G10" i="16"/>
  <c r="F10" i="16"/>
  <c r="M9" i="16"/>
  <c r="L9" i="16"/>
  <c r="G9" i="16"/>
  <c r="F9" i="16"/>
  <c r="M8" i="16"/>
  <c r="L8" i="16"/>
  <c r="G8" i="16"/>
  <c r="F8" i="16"/>
  <c r="M7" i="16"/>
  <c r="L7" i="16"/>
  <c r="G7" i="16"/>
  <c r="F7" i="16"/>
  <c r="M6" i="16"/>
  <c r="M13" i="16" s="1"/>
  <c r="L6" i="16"/>
  <c r="G6" i="16"/>
  <c r="F6" i="16"/>
  <c r="M5" i="16"/>
  <c r="L5" i="16"/>
  <c r="L13" i="16" s="1"/>
  <c r="G5" i="16"/>
  <c r="G13" i="16" s="1"/>
  <c r="F5" i="16"/>
  <c r="M4" i="16"/>
  <c r="L4" i="16"/>
  <c r="G4" i="16"/>
  <c r="F4" i="16"/>
  <c r="K13" i="15"/>
  <c r="I13" i="15"/>
  <c r="H13" i="15"/>
  <c r="G13" i="15"/>
  <c r="E13" i="15"/>
  <c r="C13" i="15"/>
  <c r="M12" i="15"/>
  <c r="L12" i="15"/>
  <c r="G12" i="15"/>
  <c r="F12" i="15"/>
  <c r="M11" i="15"/>
  <c r="L11" i="15"/>
  <c r="G11" i="15"/>
  <c r="F11" i="15"/>
  <c r="M10" i="15"/>
  <c r="L10" i="15"/>
  <c r="G10" i="15"/>
  <c r="F10" i="15"/>
  <c r="M9" i="15"/>
  <c r="L9" i="15"/>
  <c r="G9" i="15"/>
  <c r="F9" i="15"/>
  <c r="M8" i="15"/>
  <c r="L8" i="15"/>
  <c r="G8" i="15"/>
  <c r="F8" i="15"/>
  <c r="M7" i="15"/>
  <c r="L7" i="15"/>
  <c r="G7" i="15"/>
  <c r="F7" i="15"/>
  <c r="M6" i="15"/>
  <c r="L6" i="15"/>
  <c r="G6" i="15"/>
  <c r="F6" i="15"/>
  <c r="M5" i="15"/>
  <c r="L5" i="15"/>
  <c r="G5" i="15"/>
  <c r="F5" i="15"/>
  <c r="M4" i="15"/>
  <c r="M13" i="15" s="1"/>
  <c r="L4" i="15"/>
  <c r="L13" i="15" s="1"/>
  <c r="G4" i="15"/>
  <c r="F4" i="15"/>
  <c r="F13" i="15" s="1"/>
  <c r="K8" i="14"/>
  <c r="I8" i="14"/>
  <c r="H8" i="14"/>
  <c r="E8" i="14"/>
  <c r="C8" i="14"/>
  <c r="M7" i="14"/>
  <c r="L7" i="14"/>
  <c r="G7" i="14"/>
  <c r="F7" i="14"/>
  <c r="M6" i="14"/>
  <c r="L6" i="14"/>
  <c r="G6" i="14"/>
  <c r="F6" i="14"/>
  <c r="M5" i="14"/>
  <c r="L5" i="14"/>
  <c r="G5" i="14"/>
  <c r="F5" i="14"/>
  <c r="M4" i="14"/>
  <c r="M8" i="14" s="1"/>
  <c r="L4" i="14"/>
  <c r="L8" i="14" s="1"/>
  <c r="G4" i="14"/>
  <c r="G8" i="14" s="1"/>
  <c r="F4" i="14"/>
  <c r="F8" i="14" s="1"/>
  <c r="K7" i="13"/>
  <c r="I7" i="13"/>
  <c r="H7" i="13"/>
  <c r="E7" i="13"/>
  <c r="C7" i="13"/>
  <c r="M6" i="13"/>
  <c r="L6" i="13"/>
  <c r="G6" i="13"/>
  <c r="F6" i="13"/>
  <c r="M5" i="13"/>
  <c r="L5" i="13"/>
  <c r="G5" i="13"/>
  <c r="F5" i="13"/>
  <c r="M4" i="13"/>
  <c r="M7" i="13" s="1"/>
  <c r="L4" i="13"/>
  <c r="L7" i="13" s="1"/>
  <c r="G4" i="13"/>
  <c r="G7" i="13" s="1"/>
  <c r="F4" i="13"/>
  <c r="F7" i="13" s="1"/>
  <c r="K13" i="12"/>
  <c r="I13" i="12"/>
  <c r="H13" i="12"/>
  <c r="E13" i="12"/>
  <c r="C13" i="12"/>
  <c r="M12" i="12"/>
  <c r="L12" i="12"/>
  <c r="G12" i="12"/>
  <c r="F12" i="12"/>
  <c r="M11" i="12"/>
  <c r="L11" i="12"/>
  <c r="G11" i="12"/>
  <c r="F11" i="12"/>
  <c r="M10" i="12"/>
  <c r="L10" i="12"/>
  <c r="G10" i="12"/>
  <c r="F10" i="12"/>
  <c r="M9" i="12"/>
  <c r="L9" i="12"/>
  <c r="G9" i="12"/>
  <c r="F9" i="12"/>
  <c r="M8" i="12"/>
  <c r="L8" i="12"/>
  <c r="G8" i="12"/>
  <c r="F8" i="12"/>
  <c r="M7" i="12"/>
  <c r="L7" i="12"/>
  <c r="G7" i="12"/>
  <c r="F7" i="12"/>
  <c r="M6" i="12"/>
  <c r="L6" i="12"/>
  <c r="G6" i="12"/>
  <c r="F6" i="12"/>
  <c r="M5" i="12"/>
  <c r="L5" i="12"/>
  <c r="G5" i="12"/>
  <c r="G13" i="12" s="1"/>
  <c r="F5" i="12"/>
  <c r="M4" i="12"/>
  <c r="M13" i="12" s="1"/>
  <c r="L4" i="12"/>
  <c r="L13" i="12" s="1"/>
  <c r="G4" i="12"/>
  <c r="F4" i="12"/>
  <c r="F13" i="12" s="1"/>
  <c r="K13" i="11"/>
  <c r="I13" i="11"/>
  <c r="H13" i="11"/>
  <c r="E13" i="11"/>
  <c r="C13" i="11"/>
  <c r="M12" i="11"/>
  <c r="L12" i="11"/>
  <c r="G12" i="11"/>
  <c r="F12" i="11"/>
  <c r="M11" i="11"/>
  <c r="L11" i="11"/>
  <c r="G11" i="11"/>
  <c r="F11" i="11"/>
  <c r="M10" i="11"/>
  <c r="L10" i="11"/>
  <c r="G10" i="11"/>
  <c r="F10" i="11"/>
  <c r="M9" i="11"/>
  <c r="L9" i="11"/>
  <c r="G9" i="11"/>
  <c r="F9" i="11"/>
  <c r="M8" i="11"/>
  <c r="L8" i="11"/>
  <c r="G8" i="11"/>
  <c r="F8" i="11"/>
  <c r="M7" i="11"/>
  <c r="L7" i="11"/>
  <c r="G7" i="11"/>
  <c r="F7" i="11"/>
  <c r="M6" i="11"/>
  <c r="M13" i="11" s="1"/>
  <c r="L6" i="11"/>
  <c r="L13" i="11" s="1"/>
  <c r="G6" i="11"/>
  <c r="F6" i="11"/>
  <c r="M5" i="11"/>
  <c r="L5" i="11"/>
  <c r="G5" i="11"/>
  <c r="F5" i="11"/>
  <c r="M4" i="11"/>
  <c r="L4" i="11"/>
  <c r="G4" i="11"/>
  <c r="G13" i="11" s="1"/>
  <c r="F4" i="11"/>
  <c r="F13" i="11" s="1"/>
  <c r="K13" i="10"/>
  <c r="I13" i="10"/>
  <c r="H13" i="10"/>
  <c r="G13" i="10"/>
  <c r="E13" i="10"/>
  <c r="C13" i="10"/>
  <c r="M12" i="10"/>
  <c r="L12" i="10"/>
  <c r="G12" i="10"/>
  <c r="F12" i="10"/>
  <c r="M11" i="10"/>
  <c r="L11" i="10"/>
  <c r="G11" i="10"/>
  <c r="F11" i="10"/>
  <c r="M10" i="10"/>
  <c r="L10" i="10"/>
  <c r="G10" i="10"/>
  <c r="F10" i="10"/>
  <c r="M9" i="10"/>
  <c r="L9" i="10"/>
  <c r="G9" i="10"/>
  <c r="F9" i="10"/>
  <c r="M8" i="10"/>
  <c r="L8" i="10"/>
  <c r="G8" i="10"/>
  <c r="F8" i="10"/>
  <c r="M7" i="10"/>
  <c r="L7" i="10"/>
  <c r="G7" i="10"/>
  <c r="F7" i="10"/>
  <c r="M6" i="10"/>
  <c r="L6" i="10"/>
  <c r="G6" i="10"/>
  <c r="F6" i="10"/>
  <c r="M5" i="10"/>
  <c r="M13" i="10" s="1"/>
  <c r="L5" i="10"/>
  <c r="G5" i="10"/>
  <c r="F5" i="10"/>
  <c r="M4" i="10"/>
  <c r="L4" i="10"/>
  <c r="L13" i="10" s="1"/>
  <c r="G4" i="10"/>
  <c r="F4" i="10"/>
  <c r="F13" i="10" s="1"/>
  <c r="K13" i="9"/>
  <c r="I13" i="9"/>
  <c r="H13" i="9"/>
  <c r="E13" i="9"/>
  <c r="C13" i="9"/>
  <c r="M12" i="9"/>
  <c r="L12" i="9"/>
  <c r="G12" i="9"/>
  <c r="F12" i="9"/>
  <c r="M11" i="9"/>
  <c r="L11" i="9"/>
  <c r="G11" i="9"/>
  <c r="F11" i="9"/>
  <c r="M10" i="9"/>
  <c r="L10" i="9"/>
  <c r="G10" i="9"/>
  <c r="F10" i="9"/>
  <c r="M9" i="9"/>
  <c r="L9" i="9"/>
  <c r="G9" i="9"/>
  <c r="F9" i="9"/>
  <c r="M8" i="9"/>
  <c r="L8" i="9"/>
  <c r="G8" i="9"/>
  <c r="F8" i="9"/>
  <c r="M7" i="9"/>
  <c r="L7" i="9"/>
  <c r="G7" i="9"/>
  <c r="F7" i="9"/>
  <c r="M6" i="9"/>
  <c r="M13" i="9" s="1"/>
  <c r="L6" i="9"/>
  <c r="L13" i="9" s="1"/>
  <c r="G6" i="9"/>
  <c r="F6" i="9"/>
  <c r="M5" i="9"/>
  <c r="L5" i="9"/>
  <c r="G5" i="9"/>
  <c r="G13" i="9" s="1"/>
  <c r="F5" i="9"/>
  <c r="F13" i="9" s="1"/>
  <c r="M4" i="9"/>
  <c r="L4" i="9"/>
  <c r="G4" i="9"/>
  <c r="F4" i="9"/>
  <c r="K13" i="8"/>
  <c r="I13" i="8"/>
  <c r="H13" i="8"/>
  <c r="F13" i="8"/>
  <c r="E13" i="8"/>
  <c r="C13" i="8"/>
  <c r="M12" i="8"/>
  <c r="L12" i="8"/>
  <c r="G12" i="8"/>
  <c r="F12" i="8"/>
  <c r="M11" i="8"/>
  <c r="L11" i="8"/>
  <c r="G11" i="8"/>
  <c r="F11" i="8"/>
  <c r="M10" i="8"/>
  <c r="L10" i="8"/>
  <c r="G10" i="8"/>
  <c r="F10" i="8"/>
  <c r="M9" i="8"/>
  <c r="L9" i="8"/>
  <c r="G9" i="8"/>
  <c r="F9" i="8"/>
  <c r="M8" i="8"/>
  <c r="L8" i="8"/>
  <c r="G8" i="8"/>
  <c r="F8" i="8"/>
  <c r="M7" i="8"/>
  <c r="L7" i="8"/>
  <c r="G7" i="8"/>
  <c r="F7" i="8"/>
  <c r="M6" i="8"/>
  <c r="L6" i="8"/>
  <c r="G6" i="8"/>
  <c r="F6" i="8"/>
  <c r="M5" i="8"/>
  <c r="L5" i="8"/>
  <c r="G5" i="8"/>
  <c r="F5" i="8"/>
  <c r="M4" i="8"/>
  <c r="M13" i="8" s="1"/>
  <c r="L4" i="8"/>
  <c r="L13" i="8" s="1"/>
  <c r="G4" i="8"/>
  <c r="G13" i="8" s="1"/>
  <c r="F4" i="8"/>
  <c r="K13" i="7"/>
  <c r="I13" i="7"/>
  <c r="H13" i="7"/>
  <c r="E13" i="7"/>
  <c r="C13" i="7"/>
  <c r="M12" i="7"/>
  <c r="L12" i="7"/>
  <c r="G12" i="7"/>
  <c r="F12" i="7"/>
  <c r="M11" i="7"/>
  <c r="L11" i="7"/>
  <c r="G11" i="7"/>
  <c r="F11" i="7"/>
  <c r="M10" i="7"/>
  <c r="L10" i="7"/>
  <c r="G10" i="7"/>
  <c r="F10" i="7"/>
  <c r="M9" i="7"/>
  <c r="L9" i="7"/>
  <c r="G9" i="7"/>
  <c r="F9" i="7"/>
  <c r="M8" i="7"/>
  <c r="L8" i="7"/>
  <c r="G8" i="7"/>
  <c r="F8" i="7"/>
  <c r="M7" i="7"/>
  <c r="L7" i="7"/>
  <c r="G7" i="7"/>
  <c r="F7" i="7"/>
  <c r="M6" i="7"/>
  <c r="L6" i="7"/>
  <c r="G6" i="7"/>
  <c r="F6" i="7"/>
  <c r="M5" i="7"/>
  <c r="L5" i="7"/>
  <c r="G5" i="7"/>
  <c r="F5" i="7"/>
  <c r="M4" i="7"/>
  <c r="M13" i="7" s="1"/>
  <c r="L4" i="7"/>
  <c r="L13" i="7" s="1"/>
  <c r="G4" i="7"/>
  <c r="G13" i="7" s="1"/>
  <c r="F4" i="7"/>
  <c r="F13" i="7" s="1"/>
  <c r="L13" i="6"/>
  <c r="K13" i="6"/>
  <c r="I13" i="6"/>
  <c r="H13" i="6"/>
  <c r="E13" i="6"/>
  <c r="C13" i="6"/>
  <c r="M12" i="6"/>
  <c r="L12" i="6"/>
  <c r="G12" i="6"/>
  <c r="F12" i="6"/>
  <c r="M11" i="6"/>
  <c r="L11" i="6"/>
  <c r="G11" i="6"/>
  <c r="F11" i="6"/>
  <c r="M10" i="6"/>
  <c r="L10" i="6"/>
  <c r="G10" i="6"/>
  <c r="F10" i="6"/>
  <c r="M9" i="6"/>
  <c r="L9" i="6"/>
  <c r="G9" i="6"/>
  <c r="F9" i="6"/>
  <c r="M8" i="6"/>
  <c r="L8" i="6"/>
  <c r="G8" i="6"/>
  <c r="F8" i="6"/>
  <c r="M7" i="6"/>
  <c r="L7" i="6"/>
  <c r="G7" i="6"/>
  <c r="F7" i="6"/>
  <c r="M6" i="6"/>
  <c r="M13" i="6" s="1"/>
  <c r="L6" i="6"/>
  <c r="G6" i="6"/>
  <c r="F6" i="6"/>
  <c r="M5" i="6"/>
  <c r="L5" i="6"/>
  <c r="G5" i="6"/>
  <c r="F5" i="6"/>
  <c r="M4" i="6"/>
  <c r="L4" i="6"/>
  <c r="G4" i="6"/>
  <c r="G13" i="6" s="1"/>
  <c r="F4" i="6"/>
  <c r="F13" i="6" s="1"/>
  <c r="K13" i="5"/>
  <c r="I13" i="5"/>
  <c r="H13" i="5"/>
  <c r="E13" i="5"/>
  <c r="C13" i="5"/>
  <c r="M12" i="5"/>
  <c r="L12" i="5"/>
  <c r="G12" i="5"/>
  <c r="F12" i="5"/>
  <c r="M11" i="5"/>
  <c r="L11" i="5"/>
  <c r="G11" i="5"/>
  <c r="F11" i="5"/>
  <c r="M10" i="5"/>
  <c r="L10" i="5"/>
  <c r="G10" i="5"/>
  <c r="F10" i="5"/>
  <c r="M9" i="5"/>
  <c r="L9" i="5"/>
  <c r="G9" i="5"/>
  <c r="F9" i="5"/>
  <c r="M8" i="5"/>
  <c r="L8" i="5"/>
  <c r="G8" i="5"/>
  <c r="F8" i="5"/>
  <c r="M7" i="5"/>
  <c r="L7" i="5"/>
  <c r="G7" i="5"/>
  <c r="F7" i="5"/>
  <c r="M6" i="5"/>
  <c r="L6" i="5"/>
  <c r="L13" i="5" s="1"/>
  <c r="G6" i="5"/>
  <c r="F6" i="5"/>
  <c r="M5" i="5"/>
  <c r="L5" i="5"/>
  <c r="G5" i="5"/>
  <c r="F5" i="5"/>
  <c r="M4" i="5"/>
  <c r="M13" i="5" s="1"/>
  <c r="L4" i="5"/>
  <c r="G4" i="5"/>
  <c r="G13" i="5" s="1"/>
  <c r="F4" i="5"/>
  <c r="F13" i="5" s="1"/>
  <c r="K13" i="4"/>
  <c r="I13" i="4"/>
  <c r="H13" i="4"/>
  <c r="F13" i="4"/>
  <c r="E13" i="4"/>
  <c r="C13" i="4"/>
  <c r="M12" i="4"/>
  <c r="L12" i="4"/>
  <c r="G12" i="4"/>
  <c r="F12" i="4"/>
  <c r="M11" i="4"/>
  <c r="L11" i="4"/>
  <c r="G11" i="4"/>
  <c r="F11" i="4"/>
  <c r="M10" i="4"/>
  <c r="L10" i="4"/>
  <c r="G10" i="4"/>
  <c r="F10" i="4"/>
  <c r="M9" i="4"/>
  <c r="L9" i="4"/>
  <c r="G9" i="4"/>
  <c r="F9" i="4"/>
  <c r="M8" i="4"/>
  <c r="L8" i="4"/>
  <c r="G8" i="4"/>
  <c r="F8" i="4"/>
  <c r="M7" i="4"/>
  <c r="L7" i="4"/>
  <c r="G7" i="4"/>
  <c r="F7" i="4"/>
  <c r="M6" i="4"/>
  <c r="M13" i="4" s="1"/>
  <c r="L6" i="4"/>
  <c r="G6" i="4"/>
  <c r="F6" i="4"/>
  <c r="M5" i="4"/>
  <c r="L5" i="4"/>
  <c r="L13" i="4" s="1"/>
  <c r="G5" i="4"/>
  <c r="G13" i="4" s="1"/>
  <c r="F5" i="4"/>
  <c r="M4" i="4"/>
  <c r="L4" i="4"/>
  <c r="G4" i="4"/>
  <c r="F4" i="4"/>
  <c r="K13" i="3"/>
  <c r="I13" i="3"/>
  <c r="H13" i="3"/>
  <c r="G13" i="3"/>
  <c r="E13" i="3"/>
  <c r="C13" i="3"/>
  <c r="M12" i="3"/>
  <c r="L12" i="3"/>
  <c r="G12" i="3"/>
  <c r="F12" i="3"/>
  <c r="M11" i="3"/>
  <c r="L11" i="3"/>
  <c r="G11" i="3"/>
  <c r="F11" i="3"/>
  <c r="M10" i="3"/>
  <c r="L10" i="3"/>
  <c r="G10" i="3"/>
  <c r="F10" i="3"/>
  <c r="M9" i="3"/>
  <c r="L9" i="3"/>
  <c r="G9" i="3"/>
  <c r="F9" i="3"/>
  <c r="M8" i="3"/>
  <c r="L8" i="3"/>
  <c r="G8" i="3"/>
  <c r="F8" i="3"/>
  <c r="M7" i="3"/>
  <c r="L7" i="3"/>
  <c r="G7" i="3"/>
  <c r="F7" i="3"/>
  <c r="M6" i="3"/>
  <c r="L6" i="3"/>
  <c r="G6" i="3"/>
  <c r="F6" i="3"/>
  <c r="M5" i="3"/>
  <c r="L5" i="3"/>
  <c r="G5" i="3"/>
  <c r="F5" i="3"/>
  <c r="M4" i="3"/>
  <c r="M13" i="3" s="1"/>
  <c r="L4" i="3"/>
  <c r="L13" i="3" s="1"/>
  <c r="G4" i="3"/>
  <c r="F4" i="3"/>
  <c r="F13" i="3" s="1"/>
  <c r="K13" i="2"/>
  <c r="I13" i="2"/>
  <c r="H13" i="2"/>
  <c r="E13" i="2"/>
  <c r="C13" i="2"/>
  <c r="M12" i="2"/>
  <c r="L12" i="2"/>
  <c r="G12" i="2"/>
  <c r="F12" i="2"/>
  <c r="M11" i="2"/>
  <c r="L11" i="2"/>
  <c r="G11" i="2"/>
  <c r="F11" i="2"/>
  <c r="M10" i="2"/>
  <c r="L10" i="2"/>
  <c r="G10" i="2"/>
  <c r="F10" i="2"/>
  <c r="M9" i="2"/>
  <c r="L9" i="2"/>
  <c r="G9" i="2"/>
  <c r="F9" i="2"/>
  <c r="M8" i="2"/>
  <c r="L8" i="2"/>
  <c r="G8" i="2"/>
  <c r="F8" i="2"/>
  <c r="M7" i="2"/>
  <c r="L7" i="2"/>
  <c r="G7" i="2"/>
  <c r="F7" i="2"/>
  <c r="M6" i="2"/>
  <c r="L6" i="2"/>
  <c r="G6" i="2"/>
  <c r="F6" i="2"/>
  <c r="M5" i="2"/>
  <c r="L5" i="2"/>
  <c r="G5" i="2"/>
  <c r="F5" i="2"/>
  <c r="M4" i="2"/>
  <c r="M13" i="2" s="1"/>
  <c r="L4" i="2"/>
  <c r="L13" i="2" s="1"/>
  <c r="G4" i="2"/>
  <c r="G13" i="2" s="1"/>
  <c r="F4" i="2"/>
  <c r="F13" i="2" s="1"/>
  <c r="M13" i="1"/>
  <c r="K13" i="1"/>
  <c r="I13" i="1"/>
  <c r="H13" i="1"/>
  <c r="E13" i="1"/>
  <c r="C13" i="1"/>
  <c r="M12" i="1"/>
  <c r="L12" i="1"/>
  <c r="G12" i="1"/>
  <c r="F12" i="1"/>
  <c r="M11" i="1"/>
  <c r="L11" i="1"/>
  <c r="G11" i="1"/>
  <c r="F11" i="1"/>
  <c r="M10" i="1"/>
  <c r="L10" i="1"/>
  <c r="G10" i="1"/>
  <c r="F10" i="1"/>
  <c r="M9" i="1"/>
  <c r="L9" i="1"/>
  <c r="G9" i="1"/>
  <c r="F9" i="1"/>
  <c r="M8" i="1"/>
  <c r="L8" i="1"/>
  <c r="G8" i="1"/>
  <c r="F8" i="1"/>
  <c r="M7" i="1"/>
  <c r="L7" i="1"/>
  <c r="G7" i="1"/>
  <c r="F7" i="1"/>
  <c r="M6" i="1"/>
  <c r="L6" i="1"/>
  <c r="G6" i="1"/>
  <c r="F6" i="1"/>
  <c r="M5" i="1"/>
  <c r="L5" i="1"/>
  <c r="G5" i="1"/>
  <c r="F5" i="1"/>
  <c r="M4" i="1"/>
  <c r="L4" i="1"/>
  <c r="L13" i="1" s="1"/>
  <c r="G4" i="1"/>
  <c r="G13" i="1" s="1"/>
  <c r="F4" i="1"/>
  <c r="F13" i="1" s="1"/>
  <c r="C4" i="30"/>
  <c r="H4" i="30"/>
  <c r="G4" i="30"/>
  <c r="F4" i="30"/>
  <c r="E4" i="30"/>
  <c r="M4" i="30"/>
  <c r="L4" i="30"/>
  <c r="K4" i="30"/>
  <c r="I4" i="30"/>
</calcChain>
</file>

<file path=xl/sharedStrings.xml><?xml version="1.0" encoding="utf-8"?>
<sst xmlns="http://schemas.openxmlformats.org/spreadsheetml/2006/main" count="659" uniqueCount="196">
  <si>
    <t>pizza_id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</si>
  <si>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</si>
  <si>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</si>
  <si>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</si>
  <si>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</si>
  <si>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</si>
  <si>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</si>
  <si>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</si>
  <si>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</si>
  <si>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</si>
  <si>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</si>
  <si>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</si>
  <si>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thai_ckn_l</t>
  </si>
  <si>
    <t>five_cheese_l</t>
  </si>
  <si>
    <t>four_cheese_l</t>
  </si>
  <si>
    <t>spicy_ital_l</t>
  </si>
  <si>
    <t>big_meat_s</t>
  </si>
  <si>
    <t>southw_ckn_l</t>
  </si>
  <si>
    <t>bbq_ckn_l</t>
  </si>
  <si>
    <t>cali_ckn_l</t>
  </si>
  <si>
    <t>classic_dlx_m</t>
  </si>
  <si>
    <t>mexicana_l</t>
  </si>
  <si>
    <t>Top 10 Pizza IDs By Total Sales, Count And Percentage Share</t>
  </si>
  <si>
    <t>hawaiian_s</t>
  </si>
  <si>
    <t>bbq_ckn_m</t>
  </si>
  <si>
    <t>Top 10 Pizza IDs By Count, Total Sales And Percentage Share</t>
  </si>
  <si>
    <t>the_greek_s</t>
  </si>
  <si>
    <t>ital_cpcllo_s</t>
  </si>
  <si>
    <t>soppressata_s</t>
  </si>
  <si>
    <t>mediterraneo_s</t>
  </si>
  <si>
    <t>ital_supr_s</t>
  </si>
  <si>
    <t>mexicana_s</t>
  </si>
  <si>
    <t>green_garden_l</t>
  </si>
  <si>
    <t>ckn_alfredo_s</t>
  </si>
  <si>
    <t>calabrese_s</t>
  </si>
  <si>
    <t>the_greek_xxl</t>
  </si>
  <si>
    <t>Bottom 10 Pizza IDs By Total Sales, Count And Percentage Share</t>
  </si>
  <si>
    <t>spinach_supr_m</t>
  </si>
  <si>
    <t>the_greek_l</t>
  </si>
  <si>
    <t>ital_veggie_l</t>
  </si>
  <si>
    <t>ckn_alfredo_l</t>
  </si>
  <si>
    <t>Bottom 10 Pizza IDs By Count, Total Sales And Percentage Share</t>
  </si>
  <si>
    <t>pizza_type_id</t>
  </si>
  <si>
    <t>thai_ckn</t>
  </si>
  <si>
    <t>bbq_ckn</t>
  </si>
  <si>
    <t>cali_ckn</t>
  </si>
  <si>
    <t>classic_dlx</t>
  </si>
  <si>
    <t>spicy_ital</t>
  </si>
  <si>
    <t>southw_ckn</t>
  </si>
  <si>
    <t>ital_supr</t>
  </si>
  <si>
    <t>hawaiian</t>
  </si>
  <si>
    <t>four_cheese</t>
  </si>
  <si>
    <t>sicilian</t>
  </si>
  <si>
    <t>Top 10 Pizza Type IDs By Total Sales, Count And Percentage Share</t>
  </si>
  <si>
    <t>pepperoni</t>
  </si>
  <si>
    <t>big_meat</t>
  </si>
  <si>
    <t>Top 10 Pizza Type IDs By Count, Total Sales And Percentage Share</t>
  </si>
  <si>
    <t>ckn_alfredo</t>
  </si>
  <si>
    <t>ckn_pesto</t>
  </si>
  <si>
    <t>soppressata</t>
  </si>
  <si>
    <t>ital_veggie</t>
  </si>
  <si>
    <t>calabrese</t>
  </si>
  <si>
    <t>spin_pesto</t>
  </si>
  <si>
    <t>mediterraneo</t>
  </si>
  <si>
    <t>spinach_supr</t>
  </si>
  <si>
    <t>green_garden</t>
  </si>
  <si>
    <t>brie_carre</t>
  </si>
  <si>
    <t>Bottom 10 Pizza Type IDs By Total Sales, Count And Percentage Share</t>
  </si>
  <si>
    <t>Bottom 10 Pizza Type IDs By Count, Total Sales And Percentage Share</t>
  </si>
  <si>
    <t>name</t>
  </si>
  <si>
    <t>The Thai Chicken Pizza</t>
  </si>
  <si>
    <t>The Barbecue Chicken Pizza</t>
  </si>
  <si>
    <t>The California Chicken Pizza</t>
  </si>
  <si>
    <t>The Classic Deluxe Pizza</t>
  </si>
  <si>
    <t>The Spicy Italian Pizza</t>
  </si>
  <si>
    <t>The Southwest Chicken Pizza</t>
  </si>
  <si>
    <t>The Italian Supreme Pizza</t>
  </si>
  <si>
    <t>The Hawaiian Pizza</t>
  </si>
  <si>
    <t>The Four Cheese Pizza</t>
  </si>
  <si>
    <t>The Sicilian Pizza</t>
  </si>
  <si>
    <t>Top 10 Names By Total Sales, Count And Percentage Share</t>
  </si>
  <si>
    <t>The Green Garden Pizza</t>
  </si>
  <si>
    <t>The Chicken Alfredo Pizza</t>
  </si>
  <si>
    <t>The Italian Vegetables Pizza</t>
  </si>
  <si>
    <t>The Chicken Pesto Pizza</t>
  </si>
  <si>
    <t>The Spinach Pesto Pizza</t>
  </si>
  <si>
    <t>The Soppressata Pizza</t>
  </si>
  <si>
    <t>The Spinach Supreme Pizza</t>
  </si>
  <si>
    <t>The Calabrese Pizza</t>
  </si>
  <si>
    <t>The Mediterranean Pizza</t>
  </si>
  <si>
    <t>The Brie Carre Pizza</t>
  </si>
  <si>
    <t>Top 10 Names By Count, Total Sales And Percentage Share</t>
  </si>
  <si>
    <t>Bottom 10 Names By Total Sales, Count And Percentage Share</t>
  </si>
  <si>
    <t>Bottom 10 Names By Count, Total Sales And Percentage Share</t>
  </si>
  <si>
    <t>category</t>
  </si>
  <si>
    <t>Classic</t>
  </si>
  <si>
    <t>Supreme</t>
  </si>
  <si>
    <t>Chicken</t>
  </si>
  <si>
    <t>Veggie</t>
  </si>
  <si>
    <t>The Total Sales, Count And Percentage Share By Categories</t>
  </si>
  <si>
    <t>size</t>
  </si>
  <si>
    <t>L</t>
  </si>
  <si>
    <t>M</t>
  </si>
  <si>
    <t>S</t>
  </si>
  <si>
    <t>XL</t>
  </si>
  <si>
    <t>XXL</t>
  </si>
  <si>
    <t>The Total Sales, Count And Percentage Share By Size</t>
  </si>
  <si>
    <t>date</t>
  </si>
  <si>
    <t>Top 10 Dates By Total Sales, Count And Percentage Share</t>
  </si>
  <si>
    <t>Top 10 Dates By Count, Total Sales And Percentage Share</t>
  </si>
  <si>
    <t>order_time</t>
  </si>
  <si>
    <t>12:32:00</t>
  </si>
  <si>
    <t>12:25:12</t>
  </si>
  <si>
    <t>12:53:29</t>
  </si>
  <si>
    <t>13:31:27</t>
  </si>
  <si>
    <t>12:52:36</t>
  </si>
  <si>
    <t>11:59:10</t>
  </si>
  <si>
    <t>12:26:04</t>
  </si>
  <si>
    <t>12:58:32</t>
  </si>
  <si>
    <t>12:18:44</t>
  </si>
  <si>
    <t>11:50:01</t>
  </si>
  <si>
    <t>Top 10 Order Times By Total Sales, Count And Percentage Share</t>
  </si>
  <si>
    <t>13:58:37</t>
  </si>
  <si>
    <t>11:57:15</t>
  </si>
  <si>
    <t>12:14:18</t>
  </si>
  <si>
    <t>13:04:13</t>
  </si>
  <si>
    <t>13:00:20</t>
  </si>
  <si>
    <t>13:57:38</t>
  </si>
  <si>
    <t>13:35:54</t>
  </si>
  <si>
    <t>12:59:05</t>
  </si>
  <si>
    <t>14:03:04</t>
  </si>
  <si>
    <t>12:40:39</t>
  </si>
  <si>
    <t>12:27:17</t>
  </si>
  <si>
    <t>13:15:51</t>
  </si>
  <si>
    <t>13:41:22</t>
  </si>
  <si>
    <t>12:40:05</t>
  </si>
  <si>
    <t>13:23:41</t>
  </si>
  <si>
    <t>12:54:56</t>
  </si>
  <si>
    <t>13:13:33</t>
  </si>
  <si>
    <t>12:09:28</t>
  </si>
  <si>
    <t>13:08:25</t>
  </si>
  <si>
    <t>12:56:45</t>
  </si>
  <si>
    <t>12:57:49</t>
  </si>
  <si>
    <t>14:56:16</t>
  </si>
  <si>
    <t>13:09:03</t>
  </si>
  <si>
    <t>13:58:44</t>
  </si>
  <si>
    <t>12:22:42</t>
  </si>
  <si>
    <t>11:49:01</t>
  </si>
  <si>
    <t>14:21:58</t>
  </si>
  <si>
    <t>12:54:17</t>
  </si>
  <si>
    <t>13:19:39</t>
  </si>
  <si>
    <t>11:50:27</t>
  </si>
  <si>
    <t>12:50:43</t>
  </si>
  <si>
    <t>12:34:20</t>
  </si>
  <si>
    <t>12:57:08</t>
  </si>
  <si>
    <t>13:37:50</t>
  </si>
  <si>
    <t>12:21:13</t>
  </si>
  <si>
    <t>12:34:12</t>
  </si>
  <si>
    <t>13:21:21</t>
  </si>
  <si>
    <t>13:27:05</t>
  </si>
  <si>
    <t>Top 10 Order Times By Count, Total Sales And Percentage Share</t>
  </si>
  <si>
    <t>order_hour</t>
  </si>
  <si>
    <t>Top 10 Order Hours By Total Sales, Count And Percentage Share</t>
  </si>
  <si>
    <t>Top 10 Order Hours By Count, Total Sales And Percentage Share</t>
  </si>
  <si>
    <t>day</t>
  </si>
  <si>
    <t>Friday</t>
  </si>
  <si>
    <t>Thursday</t>
  </si>
  <si>
    <t>Saturday</t>
  </si>
  <si>
    <t>Wednesday</t>
  </si>
  <si>
    <t>Tuesday</t>
  </si>
  <si>
    <t>Monday</t>
  </si>
  <si>
    <t>Sunday</t>
  </si>
  <si>
    <t>Top Days By Total Sales, Count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</si>
  <si>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</si>
  <si>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</si>
  <si>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</si>
  <si>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</si>
  <si>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</si>
  <si>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</si>
  <si>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</si>
  <si>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</si>
  <si>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</si>
  <si>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</si>
  <si>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</si>
  <si>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</si>
  <si>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</si>
  <si>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Total Sales, Count And Percentage Share</t>
  </si>
  <si>
    <t>quarter</t>
  </si>
  <si>
    <t>Q1</t>
  </si>
  <si>
    <t>Q2</t>
  </si>
  <si>
    <t>Q3</t>
  </si>
  <si>
    <t>Q4</t>
  </si>
  <si>
    <t>Top Quarters By Total Sales, Count And Percentage Share</t>
  </si>
  <si>
    <t>year</t>
  </si>
  <si>
    <t>2015</t>
  </si>
  <si>
    <t>Top Years By Total Sales, Count And Percentage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</si>
</sst>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£#,##0"/>
    <numFmt numFmtId="165" formatCode="yyyy\-mm\-dd"/>
  </numFmts>
  <fonts count="16" x14ac:knownFonts="1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</fonts>
  <fills count="115">
    <fill>
      <patternFill patternType="none"/>
    </fill>
    <fill>
      <patternFill patternType="gray125"/>
    </fill>
    <fill>
      <patternFill patternType="solid">
        <fgColor rgb="FFF4A460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D6BB9B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ECECC0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04A2B"/>
        <bgColor indexed="64"/>
      </patternFill>
    </fill>
    <fill>
      <patternFill patternType="solid">
        <fgColor rgb="FF005C32"/>
        <bgColor indexed="64"/>
      </patternFill>
    </fill>
    <fill>
      <patternFill patternType="solid">
        <fgColor rgb="FF006335"/>
        <bgColor indexed="64"/>
      </patternFill>
    </fill>
    <fill>
      <patternFill patternType="solid">
        <fgColor rgb="FF00502D"/>
        <bgColor indexed="64"/>
      </patternFill>
    </fill>
    <fill>
      <patternFill patternType="solid">
        <fgColor rgb="FF005730"/>
        <bgColor indexed="64"/>
      </patternFill>
    </fill>
    <fill>
      <patternFill patternType="solid">
        <fgColor rgb="FF006837"/>
        <bgColor indexed="64"/>
      </patternFill>
    </fill>
    <fill>
      <patternFill patternType="solid">
        <fgColor rgb="FF13773D"/>
        <bgColor indexed="64"/>
      </patternFill>
    </fill>
    <fill>
      <patternFill patternType="solid">
        <fgColor rgb="FF187B3F"/>
        <bgColor indexed="64"/>
      </patternFill>
    </fill>
    <fill>
      <patternFill patternType="solid">
        <fgColor rgb="FF339951"/>
        <bgColor indexed="64"/>
      </patternFill>
    </fill>
    <fill>
      <patternFill patternType="solid">
        <fgColor rgb="FF0C723B"/>
        <bgColor indexed="64"/>
      </patternFill>
    </fill>
    <fill>
      <patternFill patternType="solid">
        <fgColor rgb="FF076D39"/>
        <bgColor indexed="64"/>
      </patternFill>
    </fill>
    <fill>
      <patternFill patternType="solid">
        <fgColor rgb="FF3EA75A"/>
        <bgColor indexed="64"/>
      </patternFill>
    </fill>
    <fill>
      <patternFill patternType="solid">
        <fgColor rgb="FF45AD5F"/>
        <bgColor indexed="64"/>
      </patternFill>
    </fill>
    <fill>
      <patternFill patternType="solid">
        <fgColor rgb="FF248644"/>
        <bgColor indexed="64"/>
      </patternFill>
    </fill>
    <fill>
      <patternFill patternType="solid">
        <fgColor rgb="FF298C48"/>
        <bgColor indexed="64"/>
      </patternFill>
    </fill>
    <fill>
      <patternFill patternType="solid">
        <fgColor rgb="FF2F934D"/>
        <bgColor indexed="64"/>
      </patternFill>
    </fill>
    <fill>
      <patternFill patternType="solid">
        <fgColor rgb="FF39A056"/>
        <bgColor indexed="64"/>
      </patternFill>
    </fill>
    <fill>
      <patternFill patternType="solid">
        <fgColor rgb="FF4EB163"/>
        <bgColor indexed="64"/>
      </patternFill>
    </fill>
    <fill>
      <patternFill patternType="solid">
        <fgColor rgb="FF56B568"/>
        <bgColor indexed="64"/>
      </patternFill>
    </fill>
    <fill>
      <patternFill patternType="solid">
        <fgColor rgb="FF69BF72"/>
        <bgColor indexed="64"/>
      </patternFill>
    </fill>
    <fill>
      <patternFill patternType="solid">
        <fgColor rgb="FF7CC87B"/>
        <bgColor indexed="64"/>
      </patternFill>
    </fill>
    <fill>
      <patternFill patternType="solid">
        <fgColor rgb="FF8ED082"/>
        <bgColor indexed="64"/>
      </patternFill>
    </fill>
    <fill>
      <patternFill patternType="solid">
        <fgColor rgb="FF74C477"/>
        <bgColor indexed="64"/>
      </patternFill>
    </fill>
    <fill>
      <patternFill patternType="solid">
        <fgColor rgb="FF86CC7F"/>
        <bgColor indexed="64"/>
      </patternFill>
    </fill>
    <fill>
      <patternFill patternType="solid">
        <fgColor rgb="FFC1E698"/>
        <bgColor indexed="64"/>
      </patternFill>
    </fill>
    <fill>
      <patternFill patternType="solid">
        <fgColor rgb="FFD7EFA2"/>
        <bgColor indexed="64"/>
      </patternFill>
    </fill>
    <fill>
      <patternFill patternType="solid">
        <fgColor rgb="FFE2F4AA"/>
        <bgColor indexed="64"/>
      </patternFill>
    </fill>
    <fill>
      <patternFill patternType="solid">
        <fgColor rgb="FFF7FCB9"/>
        <bgColor indexed="64"/>
      </patternFill>
    </fill>
    <fill>
      <patternFill patternType="solid">
        <fgColor rgb="FF1E8041"/>
        <bgColor indexed="64"/>
      </patternFill>
    </fill>
    <fill>
      <patternFill patternType="solid">
        <fgColor rgb="FFFBFDCF"/>
        <bgColor indexed="64"/>
      </patternFill>
    </fill>
    <fill>
      <patternFill patternType="solid">
        <fgColor rgb="FF61BB6D"/>
        <bgColor indexed="64"/>
      </patternFill>
    </fill>
    <fill>
      <patternFill patternType="solid">
        <fgColor rgb="FFFAFDC8"/>
        <bgColor indexed="64"/>
      </patternFill>
    </fill>
    <fill>
      <patternFill patternType="solid">
        <fgColor rgb="FFC8E99B"/>
        <bgColor indexed="64"/>
      </patternFill>
    </fill>
    <fill>
      <patternFill patternType="solid">
        <fgColor rgb="FFD0EC9F"/>
        <bgColor indexed="64"/>
      </patternFill>
    </fill>
    <fill>
      <patternFill patternType="solid">
        <fgColor rgb="FFF8FCC0"/>
        <bgColor indexed="64"/>
      </patternFill>
    </fill>
    <fill>
      <patternFill patternType="solid">
        <fgColor rgb="FFDDF2A6"/>
        <bgColor indexed="64"/>
      </patternFill>
    </fill>
    <fill>
      <patternFill patternType="solid">
        <fgColor rgb="FFFCFED7"/>
        <bgColor indexed="64"/>
      </patternFill>
    </fill>
    <fill>
      <patternFill patternType="solid">
        <fgColor rgb="FFE7F6AD"/>
        <bgColor indexed="64"/>
      </patternFill>
    </fill>
    <fill>
      <patternFill patternType="solid">
        <fgColor rgb="FFEDF8B1"/>
        <bgColor indexed="64"/>
      </patternFill>
    </fill>
    <fill>
      <patternFill patternType="solid">
        <fgColor rgb="FFFEFFDE"/>
        <bgColor indexed="64"/>
      </patternFill>
    </fill>
    <fill>
      <patternFill patternType="solid">
        <fgColor rgb="FFF1FAB5"/>
        <bgColor indexed="64"/>
      </patternFill>
    </fill>
    <fill>
      <patternFill patternType="solid">
        <fgColor rgb="FF98D486"/>
        <bgColor indexed="64"/>
      </patternFill>
    </fill>
    <fill>
      <patternFill patternType="solid">
        <fgColor rgb="FFA1D889"/>
        <bgColor indexed="64"/>
      </patternFill>
    </fill>
    <fill>
      <patternFill patternType="solid">
        <fgColor rgb="FFA9DB8C"/>
        <bgColor indexed="64"/>
      </patternFill>
    </fill>
    <fill>
      <patternFill patternType="solid">
        <fgColor rgb="FFB2DF90"/>
        <bgColor indexed="64"/>
      </patternFill>
    </fill>
    <fill>
      <patternFill patternType="solid">
        <fgColor rgb="FFB9E294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3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0" fontId="6" fillId="3" borderId="0" xfId="0" applyNumberFormat="1" applyFont="1" applyFill="1" applyAlignment="1">
      <alignment horizontal="justify"/>
    </xf>
    <xf numFmtId="2" fontId="7" fillId="5" borderId="0" xfId="0" applyNumberFormat="1" applyFont="1" applyFill="1" applyAlignment="1">
      <alignment horizontal="justify"/>
    </xf>
    <xf numFmtId="164" fontId="8" fillId="6" borderId="0" xfId="0" applyNumberFormat="1" applyFont="1" applyFill="1" applyAlignment="1">
      <alignment horizontal="justify"/>
    </xf>
    <xf numFmtId="164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0" fontId="6" fillId="8" borderId="0" xfId="0" applyNumberFormat="1" applyFont="1" applyFill="1" applyAlignment="1">
      <alignment horizontal="justify"/>
    </xf>
    <xf numFmtId="164" fontId="7" fillId="5" borderId="0" xfId="0" applyNumberFormat="1" applyFont="1" applyFill="1" applyAlignment="1">
      <alignment horizontal="justify"/>
    </xf>
    <xf numFmtId="0" fontId="5" fillId="9" borderId="2" xfId="0" applyFont="1" applyFill="1" applyBorder="1" applyAlignment="1">
      <alignment horizontal="justify"/>
    </xf>
    <xf numFmtId="0" fontId="5" fillId="10" borderId="2" xfId="0" applyFont="1" applyFill="1" applyBorder="1" applyAlignment="1">
      <alignment horizontal="justify"/>
    </xf>
    <xf numFmtId="0" fontId="5" fillId="11" borderId="2" xfId="0" applyFont="1" applyFill="1" applyBorder="1" applyAlignment="1">
      <alignment horizontal="justify"/>
    </xf>
    <xf numFmtId="0" fontId="5" fillId="12" borderId="2" xfId="0" applyFont="1" applyFill="1" applyBorder="1" applyAlignment="1">
      <alignment horizontal="justify"/>
    </xf>
    <xf numFmtId="0" fontId="10" fillId="13" borderId="2" xfId="0" applyFont="1" applyFill="1" applyBorder="1" applyAlignment="1">
      <alignment horizontal="justify"/>
    </xf>
    <xf numFmtId="0" fontId="5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10" fillId="17" borderId="2" xfId="0" applyFont="1" applyFill="1" applyBorder="1" applyAlignment="1">
      <alignment horizontal="justify"/>
    </xf>
    <xf numFmtId="0" fontId="10" fillId="18" borderId="2" xfId="0" applyFont="1" applyFill="1" applyBorder="1" applyAlignment="1">
      <alignment horizontal="justify"/>
    </xf>
    <xf numFmtId="0" fontId="10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5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3" fontId="11" fillId="25" borderId="0" xfId="0" applyNumberFormat="1" applyFont="1" applyFill="1" applyAlignment="1">
      <alignment horizontal="justify"/>
    </xf>
    <xf numFmtId="0" fontId="10" fillId="26" borderId="2" xfId="0" applyFont="1" applyFill="1" applyBorder="1" applyAlignment="1">
      <alignment horizontal="justify"/>
    </xf>
    <xf numFmtId="10" fontId="12" fillId="25" borderId="0" xfId="0" applyNumberFormat="1" applyFont="1" applyFill="1" applyAlignment="1">
      <alignment horizontal="justify"/>
    </xf>
    <xf numFmtId="2" fontId="13" fillId="25" borderId="0" xfId="0" applyNumberFormat="1" applyFont="1" applyFill="1" applyAlignment="1">
      <alignment horizontal="justify"/>
    </xf>
    <xf numFmtId="164" fontId="14" fillId="25" borderId="0" xfId="0" applyNumberFormat="1" applyFont="1" applyFill="1" applyAlignment="1">
      <alignment horizontal="justify"/>
    </xf>
    <xf numFmtId="164" fontId="15" fillId="25" borderId="0" xfId="0" applyNumberFormat="1" applyFont="1" applyFill="1" applyAlignment="1">
      <alignment horizontal="justify"/>
    </xf>
    <xf numFmtId="0" fontId="10" fillId="27" borderId="2" xfId="0" applyFont="1" applyFill="1" applyBorder="1" applyAlignment="1">
      <alignment horizontal="justify"/>
    </xf>
    <xf numFmtId="164" fontId="13" fillId="25" borderId="0" xfId="0" applyNumberFormat="1" applyFont="1" applyFill="1" applyAlignment="1">
      <alignment horizontal="justify"/>
    </xf>
    <xf numFmtId="0" fontId="3" fillId="28" borderId="2" xfId="0" applyFont="1" applyFill="1" applyBorder="1" applyAlignment="1">
      <alignment horizontal="justify"/>
    </xf>
    <xf numFmtId="0" fontId="3" fillId="29" borderId="2" xfId="0" applyFont="1" applyFill="1" applyBorder="1" applyAlignment="1">
      <alignment horizontal="justify"/>
    </xf>
    <xf numFmtId="0" fontId="3" fillId="30" borderId="2" xfId="0" applyFont="1" applyFill="1" applyBorder="1" applyAlignment="1">
      <alignment horizontal="justify"/>
    </xf>
    <xf numFmtId="0" fontId="3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5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0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165" fontId="3" fillId="38" borderId="2" xfId="0" applyNumberFormat="1" applyFont="1" applyFill="1" applyBorder="1" applyAlignment="1">
      <alignment horizontal="justify"/>
    </xf>
    <xf numFmtId="0" fontId="3" fillId="39" borderId="2" xfId="0" applyFont="1" applyFill="1" applyBorder="1" applyAlignment="1">
      <alignment horizontal="justify"/>
    </xf>
    <xf numFmtId="0" fontId="5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5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5" fillId="44" borderId="2" xfId="0" applyFont="1" applyFill="1" applyBorder="1" applyAlignment="1">
      <alignment horizontal="justify"/>
    </xf>
    <xf numFmtId="0" fontId="5" fillId="45" borderId="2" xfId="0" applyFont="1" applyFill="1" applyBorder="1" applyAlignment="1">
      <alignment horizontal="justify"/>
    </xf>
    <xf numFmtId="0" fontId="5" fillId="46" borderId="2" xfId="0" applyFont="1" applyFill="1" applyBorder="1" applyAlignment="1">
      <alignment horizontal="justify"/>
    </xf>
    <xf numFmtId="0" fontId="5" fillId="47" borderId="2" xfId="0" applyFont="1" applyFill="1" applyBorder="1" applyAlignment="1">
      <alignment horizontal="justify"/>
    </xf>
    <xf numFmtId="0" fontId="5" fillId="48" borderId="2" xfId="0" applyFont="1" applyFill="1" applyBorder="1" applyAlignment="1">
      <alignment horizontal="justify"/>
    </xf>
    <xf numFmtId="0" fontId="5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5" fillId="51" borderId="2" xfId="0" applyFont="1" applyFill="1" applyBorder="1" applyAlignment="1">
      <alignment horizontal="justify"/>
    </xf>
    <xf numFmtId="0" fontId="5" fillId="52" borderId="2" xfId="0" applyFont="1" applyFill="1" applyBorder="1" applyAlignment="1">
      <alignment horizontal="justify"/>
    </xf>
    <xf numFmtId="0" fontId="5" fillId="53" borderId="2" xfId="0" applyFont="1" applyFill="1" applyBorder="1" applyAlignment="1">
      <alignment horizontal="justify"/>
    </xf>
    <xf numFmtId="0" fontId="5" fillId="54" borderId="2" xfId="0" applyFont="1" applyFill="1" applyBorder="1" applyAlignment="1">
      <alignment horizontal="justify"/>
    </xf>
    <xf numFmtId="0" fontId="5" fillId="55" borderId="2" xfId="0" applyFont="1" applyFill="1" applyBorder="1" applyAlignment="1">
      <alignment horizontal="justify"/>
    </xf>
    <xf numFmtId="0" fontId="5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10" fillId="61" borderId="2" xfId="0" applyFont="1" applyFill="1" applyBorder="1" applyAlignment="1">
      <alignment horizontal="justify"/>
    </xf>
    <xf numFmtId="0" fontId="10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10" fillId="64" borderId="2" xfId="0" applyFont="1" applyFill="1" applyBorder="1" applyAlignment="1">
      <alignment horizontal="justify"/>
    </xf>
    <xf numFmtId="0" fontId="10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10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5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5" fillId="72" borderId="2" xfId="0" applyFont="1" applyFill="1" applyBorder="1" applyAlignment="1">
      <alignment horizontal="justify"/>
    </xf>
    <xf numFmtId="0" fontId="10" fillId="73" borderId="2" xfId="0" applyFont="1" applyFill="1" applyBorder="1" applyAlignment="1">
      <alignment horizontal="justify"/>
    </xf>
    <xf numFmtId="0" fontId="10" fillId="74" borderId="2" xfId="0" applyFont="1" applyFill="1" applyBorder="1" applyAlignment="1">
      <alignment horizontal="justify"/>
    </xf>
    <xf numFmtId="0" fontId="10" fillId="75" borderId="2" xfId="0" applyFont="1" applyFill="1" applyBorder="1" applyAlignment="1">
      <alignment horizontal="justify"/>
    </xf>
    <xf numFmtId="0" fontId="10" fillId="76" borderId="2" xfId="0" applyFont="1" applyFill="1" applyBorder="1" applyAlignment="1">
      <alignment horizontal="justify"/>
    </xf>
    <xf numFmtId="0" fontId="10" fillId="77" borderId="2" xfId="0" applyFont="1" applyFill="1" applyBorder="1" applyAlignment="1">
      <alignment horizontal="justify"/>
    </xf>
    <xf numFmtId="0" fontId="10" fillId="78" borderId="2" xfId="0" applyFont="1" applyFill="1" applyBorder="1" applyAlignment="1">
      <alignment horizontal="justify"/>
    </xf>
    <xf numFmtId="0" fontId="10" fillId="79" borderId="2" xfId="0" applyFont="1" applyFill="1" applyBorder="1" applyAlignment="1">
      <alignment horizontal="justify"/>
    </xf>
    <xf numFmtId="0" fontId="10" fillId="80" borderId="2" xfId="0" applyFont="1" applyFill="1" applyBorder="1" applyAlignment="1">
      <alignment horizontal="justify"/>
    </xf>
    <xf numFmtId="0" fontId="10" fillId="81" borderId="2" xfId="0" applyFont="1" applyFill="1" applyBorder="1" applyAlignment="1">
      <alignment horizontal="justify"/>
    </xf>
    <xf numFmtId="0" fontId="10" fillId="82" borderId="2" xfId="0" applyFont="1" applyFill="1" applyBorder="1" applyAlignment="1">
      <alignment horizontal="justify"/>
    </xf>
    <xf numFmtId="0" fontId="10" fillId="83" borderId="2" xfId="0" applyFont="1" applyFill="1" applyBorder="1" applyAlignment="1">
      <alignment horizontal="justify"/>
    </xf>
    <xf numFmtId="0" fontId="10" fillId="84" borderId="2" xfId="0" applyFont="1" applyFill="1" applyBorder="1" applyAlignment="1">
      <alignment horizontal="justify"/>
    </xf>
    <xf numFmtId="0" fontId="10" fillId="85" borderId="2" xfId="0" applyFont="1" applyFill="1" applyBorder="1" applyAlignment="1">
      <alignment horizontal="justify"/>
    </xf>
    <xf numFmtId="0" fontId="10" fillId="86" borderId="2" xfId="0" applyFont="1" applyFill="1" applyBorder="1" applyAlignment="1">
      <alignment horizontal="justify"/>
    </xf>
    <xf numFmtId="0" fontId="10" fillId="87" borderId="2" xfId="0" applyFont="1" applyFill="1" applyBorder="1" applyAlignment="1">
      <alignment horizontal="justify"/>
    </xf>
    <xf numFmtId="0" fontId="3" fillId="88" borderId="2" xfId="0" applyFont="1" applyFill="1" applyBorder="1" applyAlignment="1">
      <alignment horizontal="justify"/>
    </xf>
    <xf numFmtId="0" fontId="3" fillId="89" borderId="2" xfId="0" applyFont="1" applyFill="1" applyBorder="1" applyAlignment="1">
      <alignment horizontal="justify"/>
    </xf>
    <xf numFmtId="0" fontId="5" fillId="90" borderId="2" xfId="0" applyFont="1" applyFill="1" applyBorder="1" applyAlignment="1">
      <alignment horizontal="justify"/>
    </xf>
    <xf numFmtId="0" fontId="10" fillId="91" borderId="2" xfId="0" applyFont="1" applyFill="1" applyBorder="1" applyAlignment="1">
      <alignment horizontal="justify"/>
    </xf>
    <xf numFmtId="0" fontId="3" fillId="92" borderId="2" xfId="0" applyFont="1" applyFill="1" applyBorder="1" applyAlignment="1">
      <alignment horizontal="justify"/>
    </xf>
    <xf numFmtId="0" fontId="5" fillId="93" borderId="2" xfId="0" applyFont="1" applyFill="1" applyBorder="1" applyAlignment="1">
      <alignment horizontal="justify"/>
    </xf>
    <xf numFmtId="0" fontId="5" fillId="94" borderId="2" xfId="0" applyFont="1" applyFill="1" applyBorder="1" applyAlignment="1">
      <alignment horizontal="justify"/>
    </xf>
    <xf numFmtId="0" fontId="10" fillId="95" borderId="2" xfId="0" applyFont="1" applyFill="1" applyBorder="1" applyAlignment="1">
      <alignment horizontal="justify"/>
    </xf>
    <xf numFmtId="0" fontId="10" fillId="96" borderId="2" xfId="0" applyFont="1" applyFill="1" applyBorder="1" applyAlignment="1">
      <alignment horizontal="justify"/>
    </xf>
    <xf numFmtId="0" fontId="5" fillId="97" borderId="2" xfId="0" applyFont="1" applyFill="1" applyBorder="1" applyAlignment="1">
      <alignment horizontal="justify"/>
    </xf>
    <xf numFmtId="0" fontId="5" fillId="98" borderId="2" xfId="0" applyFont="1" applyFill="1" applyBorder="1" applyAlignment="1">
      <alignment horizontal="justify"/>
    </xf>
    <xf numFmtId="0" fontId="10" fillId="99" borderId="2" xfId="0" applyFont="1" applyFill="1" applyBorder="1" applyAlignment="1">
      <alignment horizontal="justify"/>
    </xf>
    <xf numFmtId="0" fontId="5" fillId="100" borderId="2" xfId="0" applyFont="1" applyFill="1" applyBorder="1" applyAlignment="1">
      <alignment horizontal="justify"/>
    </xf>
    <xf numFmtId="0" fontId="5" fillId="101" borderId="2" xfId="0" applyFont="1" applyFill="1" applyBorder="1" applyAlignment="1">
      <alignment horizontal="justify"/>
    </xf>
    <xf numFmtId="0" fontId="5" fillId="102" borderId="2" xfId="0" applyFont="1" applyFill="1" applyBorder="1" applyAlignment="1">
      <alignment horizontal="justify"/>
    </xf>
    <xf numFmtId="0" fontId="10" fillId="103" borderId="2" xfId="0" applyFont="1" applyFill="1" applyBorder="1" applyAlignment="1">
      <alignment horizontal="justify"/>
    </xf>
    <xf numFmtId="0" fontId="10" fillId="104" borderId="2" xfId="0" applyFont="1" applyFill="1" applyBorder="1" applyAlignment="1">
      <alignment horizontal="justify"/>
    </xf>
    <xf numFmtId="0" fontId="5" fillId="105" borderId="2" xfId="0" applyFont="1" applyFill="1" applyBorder="1" applyAlignment="1">
      <alignment horizontal="justify"/>
    </xf>
    <xf numFmtId="0" fontId="10" fillId="106" borderId="2" xfId="0" applyFont="1" applyFill="1" applyBorder="1" applyAlignment="1">
      <alignment horizontal="justify"/>
    </xf>
    <xf numFmtId="0" fontId="10" fillId="107" borderId="2" xfId="0" applyFont="1" applyFill="1" applyBorder="1" applyAlignment="1">
      <alignment horizontal="justify"/>
    </xf>
    <xf numFmtId="0" fontId="10" fillId="108" borderId="2" xfId="0" applyFont="1" applyFill="1" applyBorder="1" applyAlignment="1">
      <alignment horizontal="justify"/>
    </xf>
    <xf numFmtId="0" fontId="5" fillId="109" borderId="2" xfId="0" applyFont="1" applyFill="1" applyBorder="1" applyAlignment="1">
      <alignment horizontal="justify"/>
    </xf>
    <xf numFmtId="0" fontId="5" fillId="110" borderId="2" xfId="0" applyFont="1" applyFill="1" applyBorder="1" applyAlignment="1">
      <alignment horizontal="justify"/>
    </xf>
    <xf numFmtId="0" fontId="10" fillId="111" borderId="2" xfId="0" applyFont="1" applyFill="1" applyBorder="1" applyAlignment="1">
      <alignment horizontal="justify"/>
    </xf>
    <xf numFmtId="0" fontId="10" fillId="112" borderId="2" xfId="0" applyFont="1" applyFill="1" applyBorder="1" applyAlignment="1">
      <alignment horizontal="justify"/>
    </xf>
    <xf numFmtId="0" fontId="3" fillId="113" borderId="2" xfId="0" applyFont="1" applyFill="1" applyBorder="1" applyAlignment="1">
      <alignment horizontal="justify"/>
    </xf>
    <xf numFmtId="0" fontId="3" fillId="114" borderId="2" xfId="0" applyFont="1" applyFill="1" applyBorder="1" applyAlignment="1">
      <alignment horizontal="justify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16" sqref="H16"/>
    </sheetView>
  </sheetViews>
  <sheetFormatPr defaultRowHeight="15" x14ac:dyDescent="0.2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22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" t="s">
        <v>12</v>
      </c>
      <c r="C4" s="4">
        <v>1410</v>
      </c>
      <c r="D4" s="5">
        <v>2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21.434065934065931</v>
      </c>
      <c r="I4" s="9">
        <v>29257.5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" t="s">
        <v>13</v>
      </c>
      <c r="C5" s="4">
        <v>1409</v>
      </c>
      <c r="D5" s="13">
        <v>3</v>
      </c>
      <c r="E5" s="6">
        <v>0</v>
      </c>
      <c r="F5" s="7">
        <f t="shared" si="0"/>
        <v>-1</v>
      </c>
      <c r="G5" s="7">
        <f t="shared" si="1"/>
        <v>-7.0921985815602842E-2</v>
      </c>
      <c r="H5" s="8">
        <v>19.180647534952168</v>
      </c>
      <c r="I5" s="9">
        <v>26066.5</v>
      </c>
      <c r="J5" s="14">
        <v>2</v>
      </c>
      <c r="K5" s="11">
        <v>0</v>
      </c>
      <c r="L5" s="12">
        <f t="shared" si="2"/>
        <v>-2.2534183991137624</v>
      </c>
      <c r="M5" s="7">
        <f t="shared" si="3"/>
        <v>-10.513256822320042</v>
      </c>
    </row>
    <row r="6" spans="1:14" x14ac:dyDescent="0.25">
      <c r="A6" s="2">
        <v>2</v>
      </c>
      <c r="B6" s="3" t="s">
        <v>14</v>
      </c>
      <c r="C6" s="4">
        <v>1316</v>
      </c>
      <c r="D6" s="15">
        <v>4</v>
      </c>
      <c r="E6" s="6">
        <v>0</v>
      </c>
      <c r="F6" s="7">
        <f t="shared" si="0"/>
        <v>-93</v>
      </c>
      <c r="G6" s="7">
        <f t="shared" si="1"/>
        <v>-6.6004258339247697</v>
      </c>
      <c r="H6" s="8">
        <v>18.556323644933229</v>
      </c>
      <c r="I6" s="9">
        <v>23622.2</v>
      </c>
      <c r="J6" s="16">
        <v>3</v>
      </c>
      <c r="K6" s="11">
        <v>0</v>
      </c>
      <c r="L6" s="12">
        <f t="shared" si="2"/>
        <v>-0.62432389001893895</v>
      </c>
      <c r="M6" s="7">
        <f t="shared" si="3"/>
        <v>-3.2549677422582168</v>
      </c>
    </row>
    <row r="7" spans="1:14" x14ac:dyDescent="0.25">
      <c r="A7" s="2">
        <v>3</v>
      </c>
      <c r="B7" s="3" t="s">
        <v>15</v>
      </c>
      <c r="C7" s="4">
        <v>1109</v>
      </c>
      <c r="D7" s="17">
        <v>6</v>
      </c>
      <c r="E7" s="6">
        <v>0</v>
      </c>
      <c r="F7" s="7">
        <f t="shared" si="0"/>
        <v>-207</v>
      </c>
      <c r="G7" s="7">
        <f t="shared" si="1"/>
        <v>-15.729483282674773</v>
      </c>
      <c r="H7" s="8">
        <v>21.15050551470588</v>
      </c>
      <c r="I7" s="9">
        <v>23011.75</v>
      </c>
      <c r="J7" s="18">
        <v>4</v>
      </c>
      <c r="K7" s="11">
        <v>0</v>
      </c>
      <c r="L7" s="12">
        <f t="shared" si="2"/>
        <v>2.5941818697726511</v>
      </c>
      <c r="M7" s="7">
        <f t="shared" si="3"/>
        <v>13.980042164661144</v>
      </c>
    </row>
    <row r="8" spans="1:14" x14ac:dyDescent="0.25">
      <c r="A8" s="2">
        <v>4</v>
      </c>
      <c r="B8" s="3" t="s">
        <v>16</v>
      </c>
      <c r="C8" s="4">
        <v>1914</v>
      </c>
      <c r="D8" s="19">
        <v>1</v>
      </c>
      <c r="E8" s="6">
        <v>0</v>
      </c>
      <c r="F8" s="7">
        <f t="shared" si="0"/>
        <v>805</v>
      </c>
      <c r="G8" s="7">
        <f t="shared" si="1"/>
        <v>72.587917042380525</v>
      </c>
      <c r="H8" s="8">
        <v>12.68249585864163</v>
      </c>
      <c r="I8" s="9">
        <v>22968</v>
      </c>
      <c r="J8" s="20">
        <v>5</v>
      </c>
      <c r="K8" s="11">
        <v>0</v>
      </c>
      <c r="L8" s="12">
        <f t="shared" si="2"/>
        <v>-8.4680096560642504</v>
      </c>
      <c r="M8" s="7">
        <f t="shared" si="3"/>
        <v>-40.036913775779354</v>
      </c>
    </row>
    <row r="9" spans="1:14" x14ac:dyDescent="0.25">
      <c r="A9" s="2">
        <v>5</v>
      </c>
      <c r="B9" s="3" t="s">
        <v>17</v>
      </c>
      <c r="C9" s="4">
        <v>1016</v>
      </c>
      <c r="D9" s="21">
        <v>7</v>
      </c>
      <c r="E9" s="6">
        <v>0</v>
      </c>
      <c r="F9" s="7">
        <f t="shared" si="0"/>
        <v>-898</v>
      </c>
      <c r="G9" s="7">
        <f t="shared" si="1"/>
        <v>-46.917450365726225</v>
      </c>
      <c r="H9" s="8">
        <v>21.230614300100701</v>
      </c>
      <c r="I9" s="9">
        <v>21082</v>
      </c>
      <c r="J9" s="22">
        <v>6</v>
      </c>
      <c r="K9" s="11">
        <v>0</v>
      </c>
      <c r="L9" s="12">
        <f t="shared" si="2"/>
        <v>8.5481184414590707</v>
      </c>
      <c r="M9" s="7">
        <f t="shared" si="3"/>
        <v>67.400916481549913</v>
      </c>
    </row>
    <row r="10" spans="1:14" x14ac:dyDescent="0.25">
      <c r="A10" s="2">
        <v>6</v>
      </c>
      <c r="B10" s="3" t="s">
        <v>18</v>
      </c>
      <c r="C10" s="4">
        <v>992</v>
      </c>
      <c r="D10" s="23">
        <v>8</v>
      </c>
      <c r="E10" s="6">
        <v>0</v>
      </c>
      <c r="F10" s="7">
        <f t="shared" si="0"/>
        <v>-24</v>
      </c>
      <c r="G10" s="7">
        <f t="shared" si="1"/>
        <v>-2.3622047244094486</v>
      </c>
      <c r="H10" s="8">
        <v>21.286452947259569</v>
      </c>
      <c r="I10" s="9">
        <v>20584</v>
      </c>
      <c r="J10" s="24">
        <v>7</v>
      </c>
      <c r="K10" s="11">
        <v>0</v>
      </c>
      <c r="L10" s="12">
        <f t="shared" si="2"/>
        <v>5.5838647158868326E-2</v>
      </c>
      <c r="M10" s="7">
        <f t="shared" si="3"/>
        <v>0.26301003998081895</v>
      </c>
    </row>
    <row r="11" spans="1:14" x14ac:dyDescent="0.25">
      <c r="A11" s="2">
        <v>7</v>
      </c>
      <c r="B11" s="3" t="s">
        <v>19</v>
      </c>
      <c r="C11" s="4">
        <v>927</v>
      </c>
      <c r="D11" s="25">
        <v>9</v>
      </c>
      <c r="E11" s="6">
        <v>0</v>
      </c>
      <c r="F11" s="7">
        <f t="shared" si="0"/>
        <v>-65</v>
      </c>
      <c r="G11" s="7">
        <f t="shared" si="1"/>
        <v>-6.5524193548387091</v>
      </c>
      <c r="H11" s="8">
        <v>21.491899441340781</v>
      </c>
      <c r="I11" s="9">
        <v>19235.25</v>
      </c>
      <c r="J11" s="26">
        <v>8</v>
      </c>
      <c r="K11" s="11">
        <v>0</v>
      </c>
      <c r="L11" s="12">
        <f t="shared" si="2"/>
        <v>0.20544649408121174</v>
      </c>
      <c r="M11" s="7">
        <f t="shared" si="3"/>
        <v>0.96515137862675726</v>
      </c>
    </row>
    <row r="12" spans="1:14" x14ac:dyDescent="0.25">
      <c r="A12" s="2">
        <v>8</v>
      </c>
      <c r="B12" s="3" t="s">
        <v>20</v>
      </c>
      <c r="C12" s="4">
        <v>1181</v>
      </c>
      <c r="D12" s="27">
        <v>5</v>
      </c>
      <c r="E12" s="6">
        <v>0</v>
      </c>
      <c r="F12" s="7">
        <f t="shared" si="0"/>
        <v>254</v>
      </c>
      <c r="G12" s="7">
        <f t="shared" si="1"/>
        <v>27.400215749730311</v>
      </c>
      <c r="H12" s="8">
        <v>16.303710094909409</v>
      </c>
      <c r="I12" s="9">
        <v>18896</v>
      </c>
      <c r="J12" s="28">
        <v>9</v>
      </c>
      <c r="K12" s="11">
        <v>0</v>
      </c>
      <c r="L12" s="12">
        <f t="shared" si="2"/>
        <v>-5.188189346431372</v>
      </c>
      <c r="M12" s="7">
        <f t="shared" si="3"/>
        <v>-24.140208549699526</v>
      </c>
    </row>
    <row r="13" spans="1:14" ht="18.75" x14ac:dyDescent="0.3">
      <c r="A13" s="2">
        <v>9</v>
      </c>
      <c r="B13" s="3" t="s">
        <v>21</v>
      </c>
      <c r="C13" s="29">
        <f>SUBTOTAL(9,C4:C12)</f>
        <v>11274</v>
      </c>
      <c r="D13" s="30">
        <v>10</v>
      </c>
      <c r="E13" s="31">
        <f>SUBTOTAL(9,E4:E12)</f>
        <v>0</v>
      </c>
      <c r="F13" s="32">
        <f>SUBTOTAL(9,F4:F12)</f>
        <v>-229</v>
      </c>
      <c r="G13" s="32">
        <f>SUBTOTAL(9,G4:G12)</f>
        <v>21.755227244721304</v>
      </c>
      <c r="H13" s="33">
        <f>SUBTOTAL(9,H4:H12)</f>
        <v>173.3167152709093</v>
      </c>
      <c r="I13" s="34">
        <f>SUBTOTAL(9,I4:I12)</f>
        <v>204723.20000000001</v>
      </c>
      <c r="J13" s="35">
        <v>10</v>
      </c>
      <c r="K13" s="31">
        <f>SUBTOTAL(9,K4:K12)</f>
        <v>0</v>
      </c>
      <c r="L13" s="36">
        <f>SUBTOTAL(9,L4:L12)</f>
        <v>-5.1303558391565218</v>
      </c>
      <c r="M13" s="32">
        <f>SUBTOTAL(9,M4:M12)</f>
        <v>4.6637731747614986</v>
      </c>
    </row>
  </sheetData>
  <autoFilter ref="A3:M12" xr:uid="{00000000-0009-0000-0000-000000000000}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25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" t="s">
        <v>16</v>
      </c>
      <c r="C4" s="4">
        <v>1914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12.68249585864163</v>
      </c>
      <c r="I4" s="9">
        <v>22968</v>
      </c>
      <c r="J4" s="20">
        <v>5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" t="s">
        <v>12</v>
      </c>
      <c r="C5" s="4">
        <v>1410</v>
      </c>
      <c r="D5" s="5">
        <v>2</v>
      </c>
      <c r="E5" s="6">
        <v>0</v>
      </c>
      <c r="F5" s="7">
        <f t="shared" si="0"/>
        <v>-504</v>
      </c>
      <c r="G5" s="7">
        <f t="shared" si="1"/>
        <v>-26.332288401253916</v>
      </c>
      <c r="H5" s="8">
        <v>21.434065934065931</v>
      </c>
      <c r="I5" s="9">
        <v>29257.5</v>
      </c>
      <c r="J5" s="10">
        <v>1</v>
      </c>
      <c r="K5" s="11">
        <v>0</v>
      </c>
      <c r="L5" s="12">
        <f t="shared" si="2"/>
        <v>8.7515700754243007</v>
      </c>
      <c r="M5" s="7">
        <f t="shared" si="3"/>
        <v>69.005108875798555</v>
      </c>
    </row>
    <row r="6" spans="1:14" x14ac:dyDescent="0.25">
      <c r="A6" s="2">
        <v>2</v>
      </c>
      <c r="B6" s="3" t="s">
        <v>13</v>
      </c>
      <c r="C6" s="4">
        <v>1409</v>
      </c>
      <c r="D6" s="13">
        <v>3</v>
      </c>
      <c r="E6" s="6">
        <v>0</v>
      </c>
      <c r="F6" s="7">
        <f t="shared" si="0"/>
        <v>-1</v>
      </c>
      <c r="G6" s="7">
        <f t="shared" si="1"/>
        <v>-7.0921985815602842E-2</v>
      </c>
      <c r="H6" s="8">
        <v>19.180647534952168</v>
      </c>
      <c r="I6" s="9">
        <v>26066.5</v>
      </c>
      <c r="J6" s="14">
        <v>2</v>
      </c>
      <c r="K6" s="11">
        <v>0</v>
      </c>
      <c r="L6" s="12">
        <f t="shared" si="2"/>
        <v>-2.2534183991137624</v>
      </c>
      <c r="M6" s="7">
        <f t="shared" si="3"/>
        <v>-10.513256822320042</v>
      </c>
    </row>
    <row r="7" spans="1:14" x14ac:dyDescent="0.25">
      <c r="A7" s="2">
        <v>3</v>
      </c>
      <c r="B7" s="3" t="s">
        <v>14</v>
      </c>
      <c r="C7" s="4">
        <v>1316</v>
      </c>
      <c r="D7" s="15">
        <v>4</v>
      </c>
      <c r="E7" s="6">
        <v>0</v>
      </c>
      <c r="F7" s="7">
        <f t="shared" si="0"/>
        <v>-93</v>
      </c>
      <c r="G7" s="7">
        <f t="shared" si="1"/>
        <v>-6.6004258339247697</v>
      </c>
      <c r="H7" s="8">
        <v>18.556323644933229</v>
      </c>
      <c r="I7" s="9">
        <v>23622.2</v>
      </c>
      <c r="J7" s="16">
        <v>3</v>
      </c>
      <c r="K7" s="11">
        <v>0</v>
      </c>
      <c r="L7" s="12">
        <f t="shared" si="2"/>
        <v>-0.62432389001893895</v>
      </c>
      <c r="M7" s="7">
        <f t="shared" si="3"/>
        <v>-3.2549677422582168</v>
      </c>
    </row>
    <row r="8" spans="1:14" x14ac:dyDescent="0.25">
      <c r="A8" s="2">
        <v>4</v>
      </c>
      <c r="B8" s="3" t="s">
        <v>20</v>
      </c>
      <c r="C8" s="4">
        <v>1181</v>
      </c>
      <c r="D8" s="27">
        <v>5</v>
      </c>
      <c r="E8" s="6">
        <v>0</v>
      </c>
      <c r="F8" s="7">
        <f t="shared" si="0"/>
        <v>-135</v>
      </c>
      <c r="G8" s="7">
        <f t="shared" si="1"/>
        <v>-10.258358662613981</v>
      </c>
      <c r="H8" s="8">
        <v>16.303710094909409</v>
      </c>
      <c r="I8" s="9">
        <v>18896</v>
      </c>
      <c r="J8" s="26">
        <v>8</v>
      </c>
      <c r="K8" s="11">
        <v>0</v>
      </c>
      <c r="L8" s="12">
        <f t="shared" si="2"/>
        <v>-2.2526135500238205</v>
      </c>
      <c r="M8" s="7">
        <f t="shared" si="3"/>
        <v>-12.139331007189522</v>
      </c>
    </row>
    <row r="9" spans="1:14" x14ac:dyDescent="0.25">
      <c r="A9" s="2">
        <v>5</v>
      </c>
      <c r="B9" s="3" t="s">
        <v>15</v>
      </c>
      <c r="C9" s="4">
        <v>1109</v>
      </c>
      <c r="D9" s="17">
        <v>6</v>
      </c>
      <c r="E9" s="6">
        <v>0</v>
      </c>
      <c r="F9" s="7">
        <f t="shared" si="0"/>
        <v>-72</v>
      </c>
      <c r="G9" s="7">
        <f t="shared" si="1"/>
        <v>-6.096528365791702</v>
      </c>
      <c r="H9" s="8">
        <v>21.15050551470588</v>
      </c>
      <c r="I9" s="9">
        <v>23011.75</v>
      </c>
      <c r="J9" s="18">
        <v>4</v>
      </c>
      <c r="K9" s="11">
        <v>0</v>
      </c>
      <c r="L9" s="12">
        <f t="shared" si="2"/>
        <v>4.8467954197964715</v>
      </c>
      <c r="M9" s="7">
        <f t="shared" si="3"/>
        <v>29.728174701228347</v>
      </c>
    </row>
    <row r="10" spans="1:14" x14ac:dyDescent="0.25">
      <c r="A10" s="2">
        <v>6</v>
      </c>
      <c r="B10" s="3" t="s">
        <v>23</v>
      </c>
      <c r="C10" s="4">
        <v>1020</v>
      </c>
      <c r="D10" s="21">
        <v>7</v>
      </c>
      <c r="E10" s="6">
        <v>0</v>
      </c>
      <c r="F10" s="7">
        <f t="shared" si="0"/>
        <v>-89</v>
      </c>
      <c r="G10" s="7">
        <f t="shared" si="1"/>
        <v>-8.0252479711451752</v>
      </c>
      <c r="H10" s="8">
        <v>10.6993006993007</v>
      </c>
      <c r="I10" s="9">
        <v>10710</v>
      </c>
      <c r="J10" s="35">
        <v>10</v>
      </c>
      <c r="K10" s="11">
        <v>0</v>
      </c>
      <c r="L10" s="12">
        <f t="shared" si="2"/>
        <v>-10.45120481540518</v>
      </c>
      <c r="M10" s="7">
        <f t="shared" si="3"/>
        <v>-49.41349892624784</v>
      </c>
    </row>
    <row r="11" spans="1:14" x14ac:dyDescent="0.25">
      <c r="A11" s="2">
        <v>7</v>
      </c>
      <c r="B11" s="3" t="s">
        <v>17</v>
      </c>
      <c r="C11" s="4">
        <v>1016</v>
      </c>
      <c r="D11" s="23">
        <v>8</v>
      </c>
      <c r="E11" s="6">
        <v>0</v>
      </c>
      <c r="F11" s="7">
        <f t="shared" si="0"/>
        <v>-4</v>
      </c>
      <c r="G11" s="7">
        <f t="shared" si="1"/>
        <v>-0.39215686274509803</v>
      </c>
      <c r="H11" s="8">
        <v>21.230614300100701</v>
      </c>
      <c r="I11" s="9">
        <v>21082</v>
      </c>
      <c r="J11" s="22">
        <v>6</v>
      </c>
      <c r="K11" s="11">
        <v>0</v>
      </c>
      <c r="L11" s="12">
        <f t="shared" si="2"/>
        <v>10.531313600800001</v>
      </c>
      <c r="M11" s="7">
        <f t="shared" si="3"/>
        <v>98.429924504209154</v>
      </c>
    </row>
    <row r="12" spans="1:14" x14ac:dyDescent="0.25">
      <c r="A12" s="2">
        <v>8</v>
      </c>
      <c r="B12" s="3" t="s">
        <v>18</v>
      </c>
      <c r="C12" s="4">
        <v>992</v>
      </c>
      <c r="D12" s="25">
        <v>9</v>
      </c>
      <c r="E12" s="6">
        <v>0</v>
      </c>
      <c r="F12" s="7">
        <f t="shared" si="0"/>
        <v>-24</v>
      </c>
      <c r="G12" s="7">
        <f t="shared" si="1"/>
        <v>-2.3622047244094486</v>
      </c>
      <c r="H12" s="8">
        <v>21.286452947259569</v>
      </c>
      <c r="I12" s="9">
        <v>20584</v>
      </c>
      <c r="J12" s="24">
        <v>7</v>
      </c>
      <c r="K12" s="11">
        <v>0</v>
      </c>
      <c r="L12" s="12">
        <f t="shared" si="2"/>
        <v>5.5838647158868326E-2</v>
      </c>
      <c r="M12" s="7">
        <f t="shared" si="3"/>
        <v>0.26301003998081895</v>
      </c>
    </row>
    <row r="13" spans="1:14" ht="18.75" x14ac:dyDescent="0.3">
      <c r="A13" s="2">
        <v>9</v>
      </c>
      <c r="B13" s="3" t="s">
        <v>24</v>
      </c>
      <c r="C13" s="29">
        <f>SUBTOTAL(9,C4:C12)</f>
        <v>11367</v>
      </c>
      <c r="D13" s="30">
        <v>10</v>
      </c>
      <c r="E13" s="31">
        <f>SUBTOTAL(9,E4:E12)</f>
        <v>0</v>
      </c>
      <c r="F13" s="32">
        <f>SUBTOTAL(9,F4:F12)</f>
        <v>-922</v>
      </c>
      <c r="G13" s="32">
        <f>SUBTOTAL(9,G4:G12)</f>
        <v>-60.138132807699691</v>
      </c>
      <c r="H13" s="33">
        <f>SUBTOTAL(9,H4:H12)</f>
        <v>162.52411652886923</v>
      </c>
      <c r="I13" s="34">
        <f>SUBTOTAL(9,I4:I12)</f>
        <v>196197.95</v>
      </c>
      <c r="J13" s="28">
        <v>9</v>
      </c>
      <c r="K13" s="31">
        <f>SUBTOTAL(9,K4:K12)</f>
        <v>0</v>
      </c>
      <c r="L13" s="36">
        <f>SUBTOTAL(9,L4:L12)</f>
        <v>8.6039570886179391</v>
      </c>
      <c r="M13" s="32">
        <f>SUBTOTAL(9,M4:M12)</f>
        <v>122.10516362320125</v>
      </c>
    </row>
  </sheetData>
  <autoFilter ref="A3:M12" xr:uid="{00000000-0009-0000-0000-000001000000}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36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" t="s">
        <v>26</v>
      </c>
      <c r="C4" s="4">
        <v>304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12.16</v>
      </c>
      <c r="I4" s="9">
        <v>3648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" t="s">
        <v>27</v>
      </c>
      <c r="C5" s="4">
        <v>302</v>
      </c>
      <c r="D5" s="5">
        <v>2</v>
      </c>
      <c r="E5" s="6">
        <v>0</v>
      </c>
      <c r="F5" s="7">
        <f t="shared" si="0"/>
        <v>-2</v>
      </c>
      <c r="G5" s="7">
        <f t="shared" si="1"/>
        <v>-0.6578947368421052</v>
      </c>
      <c r="H5" s="8">
        <v>12.08</v>
      </c>
      <c r="I5" s="9">
        <v>3624</v>
      </c>
      <c r="J5" s="14">
        <v>2</v>
      </c>
      <c r="K5" s="11">
        <v>0</v>
      </c>
      <c r="L5" s="12">
        <f t="shared" si="2"/>
        <v>-8.0000000000000071E-2</v>
      </c>
      <c r="M5" s="7">
        <f t="shared" si="3"/>
        <v>-0.65789473684210587</v>
      </c>
    </row>
    <row r="6" spans="1:14" x14ac:dyDescent="0.25">
      <c r="A6" s="2">
        <v>2</v>
      </c>
      <c r="B6" s="3" t="s">
        <v>28</v>
      </c>
      <c r="C6" s="4">
        <v>288</v>
      </c>
      <c r="D6" s="15">
        <v>4</v>
      </c>
      <c r="E6" s="6">
        <v>0</v>
      </c>
      <c r="F6" s="7">
        <f t="shared" si="0"/>
        <v>-14</v>
      </c>
      <c r="G6" s="7">
        <f t="shared" si="1"/>
        <v>-4.6357615894039732</v>
      </c>
      <c r="H6" s="8">
        <v>12.5</v>
      </c>
      <c r="I6" s="9">
        <v>3600</v>
      </c>
      <c r="J6" s="16">
        <v>3</v>
      </c>
      <c r="K6" s="11">
        <v>0</v>
      </c>
      <c r="L6" s="12">
        <f t="shared" si="2"/>
        <v>0.41999999999999993</v>
      </c>
      <c r="M6" s="7">
        <f t="shared" si="3"/>
        <v>3.4768211920529799</v>
      </c>
    </row>
    <row r="7" spans="1:14" x14ac:dyDescent="0.25">
      <c r="A7" s="2">
        <v>3</v>
      </c>
      <c r="B7" s="3" t="s">
        <v>29</v>
      </c>
      <c r="C7" s="4">
        <v>289</v>
      </c>
      <c r="D7" s="13">
        <v>3</v>
      </c>
      <c r="E7" s="6">
        <v>0</v>
      </c>
      <c r="F7" s="7">
        <f t="shared" si="0"/>
        <v>1</v>
      </c>
      <c r="G7" s="7">
        <f t="shared" si="1"/>
        <v>0.34722222222222221</v>
      </c>
      <c r="H7" s="8">
        <v>12.04166666666667</v>
      </c>
      <c r="I7" s="9">
        <v>3468</v>
      </c>
      <c r="J7" s="18">
        <v>4</v>
      </c>
      <c r="K7" s="11">
        <v>0</v>
      </c>
      <c r="L7" s="12">
        <f t="shared" si="2"/>
        <v>-0.45833333333333037</v>
      </c>
      <c r="M7" s="7">
        <f t="shared" si="3"/>
        <v>-3.666666666666643</v>
      </c>
    </row>
    <row r="8" spans="1:14" x14ac:dyDescent="0.25">
      <c r="A8" s="2">
        <v>4</v>
      </c>
      <c r="B8" s="3" t="s">
        <v>30</v>
      </c>
      <c r="C8" s="4">
        <v>196</v>
      </c>
      <c r="D8" s="27">
        <v>5</v>
      </c>
      <c r="E8" s="6">
        <v>0</v>
      </c>
      <c r="F8" s="7">
        <f t="shared" si="0"/>
        <v>-93</v>
      </c>
      <c r="G8" s="7">
        <f t="shared" si="1"/>
        <v>-32.179930795847753</v>
      </c>
      <c r="H8" s="8">
        <v>12.628865979381439</v>
      </c>
      <c r="I8" s="9">
        <v>2450</v>
      </c>
      <c r="J8" s="20">
        <v>5</v>
      </c>
      <c r="K8" s="11">
        <v>0</v>
      </c>
      <c r="L8" s="12">
        <f t="shared" si="2"/>
        <v>0.58719931271476966</v>
      </c>
      <c r="M8" s="7">
        <f t="shared" si="3"/>
        <v>4.8763956765240373</v>
      </c>
    </row>
    <row r="9" spans="1:14" x14ac:dyDescent="0.25">
      <c r="A9" s="2">
        <v>5</v>
      </c>
      <c r="B9" s="3" t="s">
        <v>31</v>
      </c>
      <c r="C9" s="4">
        <v>162</v>
      </c>
      <c r="D9" s="17">
        <v>6</v>
      </c>
      <c r="E9" s="6">
        <v>0</v>
      </c>
      <c r="F9" s="7">
        <f t="shared" si="0"/>
        <v>-34</v>
      </c>
      <c r="G9" s="7">
        <f t="shared" si="1"/>
        <v>-17.346938775510203</v>
      </c>
      <c r="H9" s="8">
        <v>12.15</v>
      </c>
      <c r="I9" s="9">
        <v>1944</v>
      </c>
      <c r="J9" s="22">
        <v>6</v>
      </c>
      <c r="K9" s="11">
        <v>0</v>
      </c>
      <c r="L9" s="12">
        <f t="shared" si="2"/>
        <v>-0.47886597938143893</v>
      </c>
      <c r="M9" s="7">
        <f t="shared" si="3"/>
        <v>-3.7918367346938444</v>
      </c>
    </row>
    <row r="10" spans="1:14" x14ac:dyDescent="0.25">
      <c r="A10" s="2">
        <v>6</v>
      </c>
      <c r="B10" s="3" t="s">
        <v>32</v>
      </c>
      <c r="C10" s="4">
        <v>95</v>
      </c>
      <c r="D10" s="25">
        <v>9</v>
      </c>
      <c r="E10" s="6">
        <v>0</v>
      </c>
      <c r="F10" s="7">
        <f t="shared" si="0"/>
        <v>-67</v>
      </c>
      <c r="G10" s="7">
        <f t="shared" si="1"/>
        <v>-41.358024691358025</v>
      </c>
      <c r="H10" s="8">
        <v>20.465425531914889</v>
      </c>
      <c r="I10" s="9">
        <v>1923.75</v>
      </c>
      <c r="J10" s="24">
        <v>7</v>
      </c>
      <c r="K10" s="11">
        <v>0</v>
      </c>
      <c r="L10" s="12">
        <f t="shared" si="2"/>
        <v>8.3154255319148884</v>
      </c>
      <c r="M10" s="7">
        <f t="shared" si="3"/>
        <v>68.439716312056703</v>
      </c>
    </row>
    <row r="11" spans="1:14" x14ac:dyDescent="0.25">
      <c r="A11" s="2">
        <v>7</v>
      </c>
      <c r="B11" s="3" t="s">
        <v>33</v>
      </c>
      <c r="C11" s="4">
        <v>96</v>
      </c>
      <c r="D11" s="23">
        <v>8</v>
      </c>
      <c r="E11" s="6">
        <v>0</v>
      </c>
      <c r="F11" s="7">
        <f t="shared" si="0"/>
        <v>1</v>
      </c>
      <c r="G11" s="7">
        <f t="shared" si="1"/>
        <v>1.0526315789473684</v>
      </c>
      <c r="H11" s="8">
        <v>12.75</v>
      </c>
      <c r="I11" s="9">
        <v>1224</v>
      </c>
      <c r="J11" s="26">
        <v>8</v>
      </c>
      <c r="K11" s="11">
        <v>0</v>
      </c>
      <c r="L11" s="12">
        <f t="shared" si="2"/>
        <v>-7.7154255319148888</v>
      </c>
      <c r="M11" s="7">
        <f t="shared" si="3"/>
        <v>-37.699805068226105</v>
      </c>
    </row>
    <row r="12" spans="1:14" x14ac:dyDescent="0.25">
      <c r="A12" s="2">
        <v>8</v>
      </c>
      <c r="B12" s="3" t="s">
        <v>34</v>
      </c>
      <c r="C12" s="4">
        <v>99</v>
      </c>
      <c r="D12" s="21">
        <v>7</v>
      </c>
      <c r="E12" s="6">
        <v>0</v>
      </c>
      <c r="F12" s="7">
        <f t="shared" si="0"/>
        <v>3</v>
      </c>
      <c r="G12" s="7">
        <f t="shared" si="1"/>
        <v>3.125</v>
      </c>
      <c r="H12" s="8">
        <v>12.25</v>
      </c>
      <c r="I12" s="9">
        <v>1212.75</v>
      </c>
      <c r="J12" s="28">
        <v>9</v>
      </c>
      <c r="K12" s="11">
        <v>0</v>
      </c>
      <c r="L12" s="12">
        <f t="shared" si="2"/>
        <v>-0.5</v>
      </c>
      <c r="M12" s="7">
        <f t="shared" si="3"/>
        <v>-3.9215686274509802</v>
      </c>
    </row>
    <row r="13" spans="1:14" ht="18.75" x14ac:dyDescent="0.3">
      <c r="A13" s="2">
        <v>9</v>
      </c>
      <c r="B13" s="3" t="s">
        <v>35</v>
      </c>
      <c r="C13" s="29">
        <f>SUBTOTAL(9,C4:C12)</f>
        <v>1831</v>
      </c>
      <c r="D13" s="30">
        <v>10</v>
      </c>
      <c r="E13" s="31">
        <f>SUBTOTAL(9,E4:E12)</f>
        <v>0</v>
      </c>
      <c r="F13" s="32">
        <f>SUBTOTAL(9,F4:F12)</f>
        <v>-205</v>
      </c>
      <c r="G13" s="32">
        <f>SUBTOTAL(9,G4:G12)</f>
        <v>-91.65369678779247</v>
      </c>
      <c r="H13" s="33">
        <f>SUBTOTAL(9,H4:H12)</f>
        <v>119.02595817796301</v>
      </c>
      <c r="I13" s="34">
        <f>SUBTOTAL(9,I4:I12)</f>
        <v>23094.5</v>
      </c>
      <c r="J13" s="35">
        <v>10</v>
      </c>
      <c r="K13" s="31">
        <f>SUBTOTAL(9,K4:K12)</f>
        <v>0</v>
      </c>
      <c r="L13" s="36">
        <f>SUBTOTAL(9,L4:L12)</f>
        <v>8.9999999999999858E-2</v>
      </c>
      <c r="M13" s="32">
        <f>SUBTOTAL(9,M4:M12)</f>
        <v>27.055161346754041</v>
      </c>
    </row>
  </sheetData>
  <autoFilter ref="A3:M12" xr:uid="{00000000-0009-0000-0000-000002000000}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41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" t="s">
        <v>37</v>
      </c>
      <c r="C4" s="4">
        <v>267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16.56203007518797</v>
      </c>
      <c r="I4" s="9">
        <v>4405.5</v>
      </c>
      <c r="J4" s="14">
        <v>2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" t="s">
        <v>38</v>
      </c>
      <c r="C5" s="4">
        <v>255</v>
      </c>
      <c r="D5" s="5">
        <v>2</v>
      </c>
      <c r="E5" s="6">
        <v>0</v>
      </c>
      <c r="F5" s="7">
        <f t="shared" si="0"/>
        <v>-12</v>
      </c>
      <c r="G5" s="7">
        <f t="shared" si="1"/>
        <v>-4.4943820224719104</v>
      </c>
      <c r="H5" s="8">
        <v>20.5</v>
      </c>
      <c r="I5" s="9">
        <v>5227.5</v>
      </c>
      <c r="J5" s="10">
        <v>1</v>
      </c>
      <c r="K5" s="11">
        <v>0</v>
      </c>
      <c r="L5" s="12">
        <f t="shared" si="2"/>
        <v>3.9379699248120303</v>
      </c>
      <c r="M5" s="7">
        <f t="shared" si="3"/>
        <v>23.777096810804679</v>
      </c>
    </row>
    <row r="6" spans="1:14" x14ac:dyDescent="0.25">
      <c r="A6" s="2">
        <v>2</v>
      </c>
      <c r="B6" s="3" t="s">
        <v>30</v>
      </c>
      <c r="C6" s="4">
        <v>196</v>
      </c>
      <c r="D6" s="13">
        <v>3</v>
      </c>
      <c r="E6" s="6">
        <v>0</v>
      </c>
      <c r="F6" s="7">
        <f t="shared" si="0"/>
        <v>-59</v>
      </c>
      <c r="G6" s="7">
        <f t="shared" si="1"/>
        <v>-23.137254901960784</v>
      </c>
      <c r="H6" s="8">
        <v>12.628865979381439</v>
      </c>
      <c r="I6" s="9">
        <v>2450</v>
      </c>
      <c r="J6" s="20">
        <v>5</v>
      </c>
      <c r="K6" s="11">
        <v>0</v>
      </c>
      <c r="L6" s="12">
        <f t="shared" si="2"/>
        <v>-7.8711340206185607</v>
      </c>
      <c r="M6" s="7">
        <f t="shared" si="3"/>
        <v>-38.395775710334441</v>
      </c>
    </row>
    <row r="7" spans="1:14" x14ac:dyDescent="0.25">
      <c r="A7" s="2">
        <v>3</v>
      </c>
      <c r="B7" s="3" t="s">
        <v>39</v>
      </c>
      <c r="C7" s="4">
        <v>190</v>
      </c>
      <c r="D7" s="15">
        <v>4</v>
      </c>
      <c r="E7" s="6">
        <v>0</v>
      </c>
      <c r="F7" s="7">
        <f t="shared" si="0"/>
        <v>-6</v>
      </c>
      <c r="G7" s="7">
        <f t="shared" si="1"/>
        <v>-3.0612244897959182</v>
      </c>
      <c r="H7" s="8">
        <v>21</v>
      </c>
      <c r="I7" s="9">
        <v>3990</v>
      </c>
      <c r="J7" s="16">
        <v>3</v>
      </c>
      <c r="K7" s="11">
        <v>0</v>
      </c>
      <c r="L7" s="12">
        <f t="shared" si="2"/>
        <v>8.3711340206185607</v>
      </c>
      <c r="M7" s="7">
        <f t="shared" si="3"/>
        <v>66.285714285714334</v>
      </c>
    </row>
    <row r="8" spans="1:14" x14ac:dyDescent="0.25">
      <c r="A8" s="2">
        <v>4</v>
      </c>
      <c r="B8" s="3" t="s">
        <v>40</v>
      </c>
      <c r="C8" s="4">
        <v>188</v>
      </c>
      <c r="D8" s="27">
        <v>5</v>
      </c>
      <c r="E8" s="6">
        <v>0</v>
      </c>
      <c r="F8" s="7">
        <f t="shared" si="0"/>
        <v>-2</v>
      </c>
      <c r="G8" s="7">
        <f t="shared" si="1"/>
        <v>-1.0526315789473684</v>
      </c>
      <c r="H8" s="8">
        <v>20.860962566844918</v>
      </c>
      <c r="I8" s="9">
        <v>3901</v>
      </c>
      <c r="J8" s="18">
        <v>4</v>
      </c>
      <c r="K8" s="11">
        <v>0</v>
      </c>
      <c r="L8" s="12">
        <f t="shared" si="2"/>
        <v>-0.13903743315508166</v>
      </c>
      <c r="M8" s="7">
        <f t="shared" si="3"/>
        <v>-0.66208301502419842</v>
      </c>
    </row>
    <row r="9" spans="1:14" x14ac:dyDescent="0.25">
      <c r="A9" s="2">
        <v>5</v>
      </c>
      <c r="B9" s="3" t="s">
        <v>31</v>
      </c>
      <c r="C9" s="4">
        <v>162</v>
      </c>
      <c r="D9" s="17">
        <v>6</v>
      </c>
      <c r="E9" s="6">
        <v>0</v>
      </c>
      <c r="F9" s="7">
        <f t="shared" si="0"/>
        <v>-26</v>
      </c>
      <c r="G9" s="7">
        <f t="shared" si="1"/>
        <v>-13.829787234042554</v>
      </c>
      <c r="H9" s="8">
        <v>12.15</v>
      </c>
      <c r="I9" s="9">
        <v>1944</v>
      </c>
      <c r="J9" s="22">
        <v>6</v>
      </c>
      <c r="K9" s="11">
        <v>0</v>
      </c>
      <c r="L9" s="12">
        <f t="shared" si="2"/>
        <v>-8.710962566844918</v>
      </c>
      <c r="M9" s="7">
        <f t="shared" si="3"/>
        <v>-41.757241732888993</v>
      </c>
    </row>
    <row r="10" spans="1:14" x14ac:dyDescent="0.25">
      <c r="A10" s="2">
        <v>6</v>
      </c>
      <c r="B10" s="3" t="s">
        <v>34</v>
      </c>
      <c r="C10" s="4">
        <v>99</v>
      </c>
      <c r="D10" s="21">
        <v>7</v>
      </c>
      <c r="E10" s="6">
        <v>0</v>
      </c>
      <c r="F10" s="7">
        <f t="shared" si="0"/>
        <v>-63</v>
      </c>
      <c r="G10" s="7">
        <f t="shared" si="1"/>
        <v>-38.888888888888893</v>
      </c>
      <c r="H10" s="8">
        <v>12.25</v>
      </c>
      <c r="I10" s="9">
        <v>1212.75</v>
      </c>
      <c r="J10" s="28">
        <v>9</v>
      </c>
      <c r="K10" s="11">
        <v>0</v>
      </c>
      <c r="L10" s="12">
        <f t="shared" si="2"/>
        <v>9.9999999999999645E-2</v>
      </c>
      <c r="M10" s="7">
        <f t="shared" si="3"/>
        <v>0.82304526748970908</v>
      </c>
    </row>
    <row r="11" spans="1:14" x14ac:dyDescent="0.25">
      <c r="A11" s="2">
        <v>7</v>
      </c>
      <c r="B11" s="3" t="s">
        <v>33</v>
      </c>
      <c r="C11" s="4">
        <v>96</v>
      </c>
      <c r="D11" s="23">
        <v>8</v>
      </c>
      <c r="E11" s="6">
        <v>0</v>
      </c>
      <c r="F11" s="7">
        <f t="shared" si="0"/>
        <v>-3</v>
      </c>
      <c r="G11" s="7">
        <f t="shared" si="1"/>
        <v>-3.0303030303030303</v>
      </c>
      <c r="H11" s="8">
        <v>12.75</v>
      </c>
      <c r="I11" s="9">
        <v>1224</v>
      </c>
      <c r="J11" s="26">
        <v>8</v>
      </c>
      <c r="K11" s="11">
        <v>0</v>
      </c>
      <c r="L11" s="12">
        <f t="shared" si="2"/>
        <v>0.5</v>
      </c>
      <c r="M11" s="7">
        <f t="shared" si="3"/>
        <v>4.0816326530612246</v>
      </c>
    </row>
    <row r="12" spans="1:14" x14ac:dyDescent="0.25">
      <c r="A12" s="2">
        <v>8</v>
      </c>
      <c r="B12" s="3" t="s">
        <v>32</v>
      </c>
      <c r="C12" s="4">
        <v>95</v>
      </c>
      <c r="D12" s="25">
        <v>9</v>
      </c>
      <c r="E12" s="6">
        <v>0</v>
      </c>
      <c r="F12" s="7">
        <f t="shared" si="0"/>
        <v>-1</v>
      </c>
      <c r="G12" s="7">
        <f t="shared" si="1"/>
        <v>-1.0416666666666665</v>
      </c>
      <c r="H12" s="8">
        <v>20.465425531914889</v>
      </c>
      <c r="I12" s="9">
        <v>1923.75</v>
      </c>
      <c r="J12" s="24">
        <v>7</v>
      </c>
      <c r="K12" s="11">
        <v>0</v>
      </c>
      <c r="L12" s="12">
        <f t="shared" si="2"/>
        <v>7.7154255319148888</v>
      </c>
      <c r="M12" s="7">
        <f t="shared" si="3"/>
        <v>60.513141426783449</v>
      </c>
    </row>
    <row r="13" spans="1:14" ht="18.75" x14ac:dyDescent="0.3">
      <c r="A13" s="2">
        <v>9</v>
      </c>
      <c r="B13" s="3" t="s">
        <v>35</v>
      </c>
      <c r="C13" s="29">
        <f>SUBTOTAL(9,C4:C12)</f>
        <v>1548</v>
      </c>
      <c r="D13" s="30">
        <v>10</v>
      </c>
      <c r="E13" s="31">
        <f>SUBTOTAL(9,E4:E12)</f>
        <v>0</v>
      </c>
      <c r="F13" s="32">
        <f>SUBTOTAL(9,F4:F12)</f>
        <v>-172</v>
      </c>
      <c r="G13" s="32">
        <f>SUBTOTAL(9,G4:G12)</f>
        <v>-88.53613881307713</v>
      </c>
      <c r="H13" s="33">
        <f>SUBTOTAL(9,H4:H12)</f>
        <v>149.16728415332921</v>
      </c>
      <c r="I13" s="34">
        <f>SUBTOTAL(9,I4:I12)</f>
        <v>26278.5</v>
      </c>
      <c r="J13" s="35">
        <v>10</v>
      </c>
      <c r="K13" s="31">
        <f>SUBTOTAL(9,K4:K12)</f>
        <v>0</v>
      </c>
      <c r="L13" s="36">
        <f>SUBTOTAL(9,L4:L12)</f>
        <v>3.9033954567269191</v>
      </c>
      <c r="M13" s="32">
        <f>SUBTOTAL(9,M4:M12)</f>
        <v>74.665529985605758</v>
      </c>
    </row>
  </sheetData>
  <autoFilter ref="A3:M12" xr:uid="{00000000-0009-0000-0000-000003000000}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53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42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7" t="s">
        <v>43</v>
      </c>
      <c r="C4" s="4">
        <v>2371</v>
      </c>
      <c r="D4" s="15">
        <v>4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18.762095032397411</v>
      </c>
      <c r="I4" s="9">
        <v>43434.25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7" t="s">
        <v>44</v>
      </c>
      <c r="C5" s="4">
        <v>2432</v>
      </c>
      <c r="D5" s="5">
        <v>2</v>
      </c>
      <c r="E5" s="6">
        <v>0</v>
      </c>
      <c r="F5" s="7">
        <f t="shared" si="0"/>
        <v>61</v>
      </c>
      <c r="G5" s="7">
        <f t="shared" si="1"/>
        <v>2.5727541121889499</v>
      </c>
      <c r="H5" s="8">
        <v>18.030354131534569</v>
      </c>
      <c r="I5" s="9">
        <v>42768</v>
      </c>
      <c r="J5" s="14">
        <v>2</v>
      </c>
      <c r="K5" s="11">
        <v>0</v>
      </c>
      <c r="L5" s="12">
        <f t="shared" si="2"/>
        <v>-0.73174090086284238</v>
      </c>
      <c r="M5" s="7">
        <f t="shared" si="3"/>
        <v>-3.9001023052026449</v>
      </c>
    </row>
    <row r="6" spans="1:14" x14ac:dyDescent="0.25">
      <c r="A6" s="2">
        <v>2</v>
      </c>
      <c r="B6" s="37" t="s">
        <v>45</v>
      </c>
      <c r="C6" s="4">
        <v>2370</v>
      </c>
      <c r="D6" s="27">
        <v>5</v>
      </c>
      <c r="E6" s="6">
        <v>0</v>
      </c>
      <c r="F6" s="7">
        <f t="shared" si="0"/>
        <v>-62</v>
      </c>
      <c r="G6" s="7">
        <f t="shared" si="1"/>
        <v>-2.549342105263158</v>
      </c>
      <c r="H6" s="8">
        <v>17.98848827106864</v>
      </c>
      <c r="I6" s="9">
        <v>41409.5</v>
      </c>
      <c r="J6" s="16">
        <v>3</v>
      </c>
      <c r="K6" s="11">
        <v>0</v>
      </c>
      <c r="L6" s="12">
        <f t="shared" si="2"/>
        <v>-4.1865860465929217E-2</v>
      </c>
      <c r="M6" s="7">
        <f t="shared" si="3"/>
        <v>-0.232196551218631</v>
      </c>
    </row>
    <row r="7" spans="1:14" x14ac:dyDescent="0.25">
      <c r="A7" s="2">
        <v>3</v>
      </c>
      <c r="B7" s="37" t="s">
        <v>46</v>
      </c>
      <c r="C7" s="4">
        <v>2453</v>
      </c>
      <c r="D7" s="19">
        <v>1</v>
      </c>
      <c r="E7" s="6">
        <v>0</v>
      </c>
      <c r="F7" s="7">
        <f t="shared" si="0"/>
        <v>83</v>
      </c>
      <c r="G7" s="7">
        <f t="shared" si="1"/>
        <v>3.5021097046413501</v>
      </c>
      <c r="H7" s="8">
        <v>15.803187086092709</v>
      </c>
      <c r="I7" s="9">
        <v>38180.5</v>
      </c>
      <c r="J7" s="18">
        <v>4</v>
      </c>
      <c r="K7" s="11">
        <v>0</v>
      </c>
      <c r="L7" s="12">
        <f t="shared" si="2"/>
        <v>-2.1853011849759305</v>
      </c>
      <c r="M7" s="7">
        <f t="shared" si="3"/>
        <v>-12.148331488703295</v>
      </c>
    </row>
    <row r="8" spans="1:14" x14ac:dyDescent="0.25">
      <c r="A8" s="2">
        <v>4</v>
      </c>
      <c r="B8" s="37" t="s">
        <v>47</v>
      </c>
      <c r="C8" s="4">
        <v>1924</v>
      </c>
      <c r="D8" s="21">
        <v>7</v>
      </c>
      <c r="E8" s="6">
        <v>0</v>
      </c>
      <c r="F8" s="7">
        <f t="shared" si="0"/>
        <v>-529</v>
      </c>
      <c r="G8" s="7">
        <f t="shared" si="1"/>
        <v>-21.565430085609457</v>
      </c>
      <c r="H8" s="8">
        <v>18.458532061473239</v>
      </c>
      <c r="I8" s="9">
        <v>34831.25</v>
      </c>
      <c r="J8" s="20">
        <v>5</v>
      </c>
      <c r="K8" s="11">
        <v>0</v>
      </c>
      <c r="L8" s="12">
        <f t="shared" si="2"/>
        <v>2.6553449753805296</v>
      </c>
      <c r="M8" s="7">
        <f t="shared" si="3"/>
        <v>16.802591533686993</v>
      </c>
    </row>
    <row r="9" spans="1:14" x14ac:dyDescent="0.25">
      <c r="A9" s="2">
        <v>5</v>
      </c>
      <c r="B9" s="37" t="s">
        <v>48</v>
      </c>
      <c r="C9" s="4">
        <v>1917</v>
      </c>
      <c r="D9" s="23">
        <v>8</v>
      </c>
      <c r="E9" s="6">
        <v>0</v>
      </c>
      <c r="F9" s="7">
        <f t="shared" si="0"/>
        <v>-7</v>
      </c>
      <c r="G9" s="7">
        <f t="shared" si="1"/>
        <v>-0.36382536382536385</v>
      </c>
      <c r="H9" s="8">
        <v>18.411538461538459</v>
      </c>
      <c r="I9" s="9">
        <v>34705.75</v>
      </c>
      <c r="J9" s="22">
        <v>6</v>
      </c>
      <c r="K9" s="11">
        <v>0</v>
      </c>
      <c r="L9" s="12">
        <f t="shared" si="2"/>
        <v>-4.6993599934779695E-2</v>
      </c>
      <c r="M9" s="7">
        <f t="shared" si="3"/>
        <v>-0.25459012546758808</v>
      </c>
    </row>
    <row r="10" spans="1:14" x14ac:dyDescent="0.25">
      <c r="A10" s="2">
        <v>6</v>
      </c>
      <c r="B10" s="37" t="s">
        <v>49</v>
      </c>
      <c r="C10" s="4">
        <v>1884</v>
      </c>
      <c r="D10" s="30">
        <v>10</v>
      </c>
      <c r="E10" s="6">
        <v>0</v>
      </c>
      <c r="F10" s="7">
        <f t="shared" si="0"/>
        <v>-33</v>
      </c>
      <c r="G10" s="7">
        <f t="shared" si="1"/>
        <v>-1.7214397496087637</v>
      </c>
      <c r="H10" s="8">
        <v>18.105327203893999</v>
      </c>
      <c r="I10" s="9">
        <v>33476.75</v>
      </c>
      <c r="J10" s="24">
        <v>7</v>
      </c>
      <c r="K10" s="11">
        <v>0</v>
      </c>
      <c r="L10" s="12">
        <f t="shared" si="2"/>
        <v>-0.30621125764445978</v>
      </c>
      <c r="M10" s="7">
        <f t="shared" si="3"/>
        <v>-1.6631486732308243</v>
      </c>
    </row>
    <row r="11" spans="1:14" x14ac:dyDescent="0.25">
      <c r="A11" s="2">
        <v>7</v>
      </c>
      <c r="B11" s="37" t="s">
        <v>50</v>
      </c>
      <c r="C11" s="4">
        <v>2422</v>
      </c>
      <c r="D11" s="13">
        <v>3</v>
      </c>
      <c r="E11" s="6">
        <v>0</v>
      </c>
      <c r="F11" s="7">
        <f t="shared" si="0"/>
        <v>538</v>
      </c>
      <c r="G11" s="7">
        <f t="shared" si="1"/>
        <v>28.556263269639064</v>
      </c>
      <c r="H11" s="8">
        <v>13.617405063291139</v>
      </c>
      <c r="I11" s="9">
        <v>32273.25</v>
      </c>
      <c r="J11" s="26">
        <v>8</v>
      </c>
      <c r="K11" s="11">
        <v>0</v>
      </c>
      <c r="L11" s="12">
        <f t="shared" si="2"/>
        <v>-4.4879221406028602</v>
      </c>
      <c r="M11" s="7">
        <f t="shared" si="3"/>
        <v>-24.787854370495008</v>
      </c>
    </row>
    <row r="12" spans="1:14" x14ac:dyDescent="0.25">
      <c r="A12" s="2">
        <v>8</v>
      </c>
      <c r="B12" s="37" t="s">
        <v>51</v>
      </c>
      <c r="C12" s="4">
        <v>1902</v>
      </c>
      <c r="D12" s="25">
        <v>9</v>
      </c>
      <c r="E12" s="6">
        <v>0</v>
      </c>
      <c r="F12" s="7">
        <f t="shared" si="0"/>
        <v>-520</v>
      </c>
      <c r="G12" s="7">
        <f t="shared" si="1"/>
        <v>-21.469859620148636</v>
      </c>
      <c r="H12" s="8">
        <v>17.440918918918921</v>
      </c>
      <c r="I12" s="9">
        <v>32265.7</v>
      </c>
      <c r="J12" s="28">
        <v>9</v>
      </c>
      <c r="K12" s="11">
        <v>0</v>
      </c>
      <c r="L12" s="12">
        <f t="shared" si="2"/>
        <v>3.8235138556277821</v>
      </c>
      <c r="M12" s="7">
        <f t="shared" si="3"/>
        <v>28.078138513592044</v>
      </c>
    </row>
    <row r="13" spans="1:14" ht="18.75" x14ac:dyDescent="0.3">
      <c r="A13" s="2">
        <v>9</v>
      </c>
      <c r="B13" s="37" t="s">
        <v>52</v>
      </c>
      <c r="C13" s="29">
        <f>SUBTOTAL(9,C4:C12)</f>
        <v>19675</v>
      </c>
      <c r="D13" s="17">
        <v>6</v>
      </c>
      <c r="E13" s="31">
        <f>SUBTOTAL(9,E4:E12)</f>
        <v>0</v>
      </c>
      <c r="F13" s="32">
        <f>SUBTOTAL(9,F4:F12)</f>
        <v>-469</v>
      </c>
      <c r="G13" s="32">
        <f>SUBTOTAL(9,G4:G12)</f>
        <v>-13.038769837986013</v>
      </c>
      <c r="H13" s="33">
        <f>SUBTOTAL(9,H4:H12)</f>
        <v>156.61784623020907</v>
      </c>
      <c r="I13" s="34">
        <f>SUBTOTAL(9,I4:I12)</f>
        <v>333344.95</v>
      </c>
      <c r="J13" s="35">
        <v>10</v>
      </c>
      <c r="K13" s="31">
        <f>SUBTOTAL(9,K4:K12)</f>
        <v>0</v>
      </c>
      <c r="L13" s="36">
        <f>SUBTOTAL(9,L4:L12)</f>
        <v>-1.3211761134784901</v>
      </c>
      <c r="M13" s="32">
        <f>SUBTOTAL(9,M4:M12)</f>
        <v>1.8945065329610458</v>
      </c>
    </row>
  </sheetData>
  <autoFilter ref="A3:M12" xr:uid="{00000000-0009-0000-0000-000004000000}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56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42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7" t="s">
        <v>46</v>
      </c>
      <c r="C4" s="4">
        <v>2453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15.803187086092709</v>
      </c>
      <c r="I4" s="9">
        <v>38180.5</v>
      </c>
      <c r="J4" s="18">
        <v>4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7" t="s">
        <v>44</v>
      </c>
      <c r="C5" s="4">
        <v>2432</v>
      </c>
      <c r="D5" s="5">
        <v>2</v>
      </c>
      <c r="E5" s="6">
        <v>0</v>
      </c>
      <c r="F5" s="7">
        <f t="shared" si="0"/>
        <v>-21</v>
      </c>
      <c r="G5" s="7">
        <f t="shared" si="1"/>
        <v>-0.8560945780676722</v>
      </c>
      <c r="H5" s="8">
        <v>18.030354131534569</v>
      </c>
      <c r="I5" s="9">
        <v>42768</v>
      </c>
      <c r="J5" s="14">
        <v>2</v>
      </c>
      <c r="K5" s="11">
        <v>0</v>
      </c>
      <c r="L5" s="12">
        <f t="shared" si="2"/>
        <v>2.2271670454418597</v>
      </c>
      <c r="M5" s="7">
        <f t="shared" si="3"/>
        <v>14.093151168233875</v>
      </c>
    </row>
    <row r="6" spans="1:14" x14ac:dyDescent="0.25">
      <c r="A6" s="2">
        <v>2</v>
      </c>
      <c r="B6" s="37" t="s">
        <v>50</v>
      </c>
      <c r="C6" s="4">
        <v>2422</v>
      </c>
      <c r="D6" s="13">
        <v>3</v>
      </c>
      <c r="E6" s="6">
        <v>0</v>
      </c>
      <c r="F6" s="7">
        <f t="shared" si="0"/>
        <v>-10</v>
      </c>
      <c r="G6" s="7">
        <f t="shared" si="1"/>
        <v>-0.41118421052631576</v>
      </c>
      <c r="H6" s="8">
        <v>13.617405063291139</v>
      </c>
      <c r="I6" s="9">
        <v>32273.25</v>
      </c>
      <c r="J6" s="24">
        <v>7</v>
      </c>
      <c r="K6" s="11">
        <v>0</v>
      </c>
      <c r="L6" s="12">
        <f t="shared" si="2"/>
        <v>-4.4129490682434298</v>
      </c>
      <c r="M6" s="7">
        <f t="shared" si="3"/>
        <v>-24.475110339210197</v>
      </c>
    </row>
    <row r="7" spans="1:14" x14ac:dyDescent="0.25">
      <c r="A7" s="2">
        <v>3</v>
      </c>
      <c r="B7" s="37" t="s">
        <v>54</v>
      </c>
      <c r="C7" s="4">
        <v>2418</v>
      </c>
      <c r="D7" s="15">
        <v>4</v>
      </c>
      <c r="E7" s="6">
        <v>0</v>
      </c>
      <c r="F7" s="7">
        <f t="shared" si="0"/>
        <v>-4</v>
      </c>
      <c r="G7" s="7">
        <f t="shared" si="1"/>
        <v>-0.16515276630883566</v>
      </c>
      <c r="H7" s="8">
        <v>12.731848881384551</v>
      </c>
      <c r="I7" s="9">
        <v>30161.75</v>
      </c>
      <c r="J7" s="28">
        <v>9</v>
      </c>
      <c r="K7" s="11">
        <v>0</v>
      </c>
      <c r="L7" s="12">
        <f t="shared" si="2"/>
        <v>-0.88555618190658869</v>
      </c>
      <c r="M7" s="7">
        <f t="shared" si="3"/>
        <v>-6.5031199247631246</v>
      </c>
    </row>
    <row r="8" spans="1:14" x14ac:dyDescent="0.25">
      <c r="A8" s="2">
        <v>4</v>
      </c>
      <c r="B8" s="37" t="s">
        <v>43</v>
      </c>
      <c r="C8" s="4">
        <v>2371</v>
      </c>
      <c r="D8" s="27">
        <v>5</v>
      </c>
      <c r="E8" s="6">
        <v>0</v>
      </c>
      <c r="F8" s="7">
        <f t="shared" si="0"/>
        <v>-47</v>
      </c>
      <c r="G8" s="7">
        <f t="shared" si="1"/>
        <v>-1.9437551695616211</v>
      </c>
      <c r="H8" s="8">
        <v>18.762095032397411</v>
      </c>
      <c r="I8" s="9">
        <v>43434.25</v>
      </c>
      <c r="J8" s="10">
        <v>1</v>
      </c>
      <c r="K8" s="11">
        <v>0</v>
      </c>
      <c r="L8" s="12">
        <f t="shared" si="2"/>
        <v>6.0302461510128609</v>
      </c>
      <c r="M8" s="7">
        <f t="shared" si="3"/>
        <v>47.363475699352549</v>
      </c>
    </row>
    <row r="9" spans="1:14" x14ac:dyDescent="0.25">
      <c r="A9" s="2">
        <v>5</v>
      </c>
      <c r="B9" s="37" t="s">
        <v>45</v>
      </c>
      <c r="C9" s="4">
        <v>2370</v>
      </c>
      <c r="D9" s="17">
        <v>6</v>
      </c>
      <c r="E9" s="6">
        <v>0</v>
      </c>
      <c r="F9" s="7">
        <f t="shared" si="0"/>
        <v>-1</v>
      </c>
      <c r="G9" s="7">
        <f t="shared" si="1"/>
        <v>-4.2176296921130327E-2</v>
      </c>
      <c r="H9" s="8">
        <v>17.98848827106864</v>
      </c>
      <c r="I9" s="9">
        <v>41409.5</v>
      </c>
      <c r="J9" s="16">
        <v>3</v>
      </c>
      <c r="K9" s="11">
        <v>0</v>
      </c>
      <c r="L9" s="12">
        <f t="shared" si="2"/>
        <v>-0.7736067613287716</v>
      </c>
      <c r="M9" s="7">
        <f t="shared" si="3"/>
        <v>-4.1232429533745973</v>
      </c>
    </row>
    <row r="10" spans="1:14" x14ac:dyDescent="0.25">
      <c r="A10" s="2">
        <v>6</v>
      </c>
      <c r="B10" s="37" t="s">
        <v>52</v>
      </c>
      <c r="C10" s="4">
        <v>1938</v>
      </c>
      <c r="D10" s="21">
        <v>7</v>
      </c>
      <c r="E10" s="6">
        <v>0</v>
      </c>
      <c r="F10" s="7">
        <f t="shared" si="0"/>
        <v>-432</v>
      </c>
      <c r="G10" s="7">
        <f t="shared" si="1"/>
        <v>-18.227848101265824</v>
      </c>
      <c r="H10" s="8">
        <v>16.3966613672496</v>
      </c>
      <c r="I10" s="9">
        <v>30940.5</v>
      </c>
      <c r="J10" s="26">
        <v>8</v>
      </c>
      <c r="K10" s="11">
        <v>0</v>
      </c>
      <c r="L10" s="12">
        <f t="shared" si="2"/>
        <v>-1.5918269038190402</v>
      </c>
      <c r="M10" s="7">
        <f t="shared" si="3"/>
        <v>-8.8491421837777064</v>
      </c>
    </row>
    <row r="11" spans="1:14" x14ac:dyDescent="0.25">
      <c r="A11" s="2">
        <v>7</v>
      </c>
      <c r="B11" s="37" t="s">
        <v>47</v>
      </c>
      <c r="C11" s="4">
        <v>1924</v>
      </c>
      <c r="D11" s="23">
        <v>8</v>
      </c>
      <c r="E11" s="6">
        <v>0</v>
      </c>
      <c r="F11" s="7">
        <f t="shared" si="0"/>
        <v>-14</v>
      </c>
      <c r="G11" s="7">
        <f t="shared" si="1"/>
        <v>-0.72239422084623317</v>
      </c>
      <c r="H11" s="8">
        <v>18.458532061473239</v>
      </c>
      <c r="I11" s="9">
        <v>34831.25</v>
      </c>
      <c r="J11" s="20">
        <v>5</v>
      </c>
      <c r="K11" s="11">
        <v>0</v>
      </c>
      <c r="L11" s="12">
        <f t="shared" si="2"/>
        <v>2.0618706942236393</v>
      </c>
      <c r="M11" s="7">
        <f t="shared" si="3"/>
        <v>12.574942227824398</v>
      </c>
    </row>
    <row r="12" spans="1:14" x14ac:dyDescent="0.25">
      <c r="A12" s="2">
        <v>8</v>
      </c>
      <c r="B12" s="37" t="s">
        <v>48</v>
      </c>
      <c r="C12" s="4">
        <v>1917</v>
      </c>
      <c r="D12" s="25">
        <v>9</v>
      </c>
      <c r="E12" s="6">
        <v>0</v>
      </c>
      <c r="F12" s="7">
        <f t="shared" si="0"/>
        <v>-7</v>
      </c>
      <c r="G12" s="7">
        <f t="shared" si="1"/>
        <v>-0.36382536382536385</v>
      </c>
      <c r="H12" s="8">
        <v>18.411538461538459</v>
      </c>
      <c r="I12" s="9">
        <v>34705.75</v>
      </c>
      <c r="J12" s="22">
        <v>6</v>
      </c>
      <c r="K12" s="11">
        <v>0</v>
      </c>
      <c r="L12" s="12">
        <f t="shared" si="2"/>
        <v>-4.6993599934779695E-2</v>
      </c>
      <c r="M12" s="7">
        <f t="shared" si="3"/>
        <v>-0.25459012546758808</v>
      </c>
    </row>
    <row r="13" spans="1:14" ht="18.75" x14ac:dyDescent="0.3">
      <c r="A13" s="2">
        <v>9</v>
      </c>
      <c r="B13" s="37" t="s">
        <v>55</v>
      </c>
      <c r="C13" s="29">
        <f>SUBTOTAL(9,C4:C12)</f>
        <v>20245</v>
      </c>
      <c r="D13" s="30">
        <v>10</v>
      </c>
      <c r="E13" s="31">
        <f>SUBTOTAL(9,E4:E12)</f>
        <v>0</v>
      </c>
      <c r="F13" s="32">
        <f>SUBTOTAL(9,F4:F12)</f>
        <v>-536</v>
      </c>
      <c r="G13" s="32">
        <f>SUBTOTAL(9,G4:G12)</f>
        <v>-22.732430707322994</v>
      </c>
      <c r="H13" s="33">
        <f>SUBTOTAL(9,H4:H12)</f>
        <v>150.20011035603034</v>
      </c>
      <c r="I13" s="34">
        <f>SUBTOTAL(9,I4:I12)</f>
        <v>328704.75</v>
      </c>
      <c r="J13" s="35">
        <v>10</v>
      </c>
      <c r="K13" s="31">
        <f>SUBTOTAL(9,K4:K12)</f>
        <v>0</v>
      </c>
      <c r="L13" s="36">
        <f>SUBTOTAL(9,L4:L12)</f>
        <v>2.6083513754457499</v>
      </c>
      <c r="M13" s="32">
        <f>SUBTOTAL(9,M4:M12)</f>
        <v>29.826363568817609</v>
      </c>
    </row>
  </sheetData>
  <autoFilter ref="A3:M12" xr:uid="{00000000-0009-0000-0000-000005000000}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67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42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7" t="s">
        <v>57</v>
      </c>
      <c r="C4" s="4">
        <v>987</v>
      </c>
      <c r="D4" s="5">
        <v>2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17.245153061224489</v>
      </c>
      <c r="I4" s="9">
        <v>16900.25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7" t="s">
        <v>58</v>
      </c>
      <c r="C5" s="4">
        <v>973</v>
      </c>
      <c r="D5" s="15">
        <v>4</v>
      </c>
      <c r="E5" s="6">
        <v>0</v>
      </c>
      <c r="F5" s="7">
        <f t="shared" si="0"/>
        <v>-14</v>
      </c>
      <c r="G5" s="7">
        <f t="shared" si="1"/>
        <v>-1.4184397163120568</v>
      </c>
      <c r="H5" s="8">
        <v>17.379552549427679</v>
      </c>
      <c r="I5" s="9">
        <v>16701.75</v>
      </c>
      <c r="J5" s="14">
        <v>2</v>
      </c>
      <c r="K5" s="11">
        <v>0</v>
      </c>
      <c r="L5" s="12">
        <f t="shared" si="2"/>
        <v>0.13439948820319003</v>
      </c>
      <c r="M5" s="7">
        <f t="shared" si="3"/>
        <v>0.77934645013609993</v>
      </c>
    </row>
    <row r="6" spans="1:14" x14ac:dyDescent="0.25">
      <c r="A6" s="2">
        <v>2</v>
      </c>
      <c r="B6" s="37" t="s">
        <v>59</v>
      </c>
      <c r="C6" s="4">
        <v>961</v>
      </c>
      <c r="D6" s="17">
        <v>6</v>
      </c>
      <c r="E6" s="6">
        <v>0</v>
      </c>
      <c r="F6" s="7">
        <f t="shared" si="0"/>
        <v>-12</v>
      </c>
      <c r="G6" s="7">
        <f t="shared" si="1"/>
        <v>-1.2332990750256936</v>
      </c>
      <c r="H6" s="8">
        <v>17.163793103448281</v>
      </c>
      <c r="I6" s="9">
        <v>16425.75</v>
      </c>
      <c r="J6" s="16">
        <v>3</v>
      </c>
      <c r="K6" s="11">
        <v>0</v>
      </c>
      <c r="L6" s="12">
        <f t="shared" si="2"/>
        <v>-0.21575944597939767</v>
      </c>
      <c r="M6" s="7">
        <f t="shared" si="3"/>
        <v>-1.2414557012660419</v>
      </c>
    </row>
    <row r="7" spans="1:14" x14ac:dyDescent="0.25">
      <c r="A7" s="2">
        <v>3</v>
      </c>
      <c r="B7" s="37" t="s">
        <v>60</v>
      </c>
      <c r="C7" s="4">
        <v>981</v>
      </c>
      <c r="D7" s="13">
        <v>3</v>
      </c>
      <c r="E7" s="6">
        <v>0</v>
      </c>
      <c r="F7" s="7">
        <f t="shared" si="0"/>
        <v>20</v>
      </c>
      <c r="G7" s="7">
        <f t="shared" si="1"/>
        <v>2.0811654526534862</v>
      </c>
      <c r="H7" s="8">
        <v>16.43</v>
      </c>
      <c r="I7" s="9">
        <v>16019.25</v>
      </c>
      <c r="J7" s="18">
        <v>4</v>
      </c>
      <c r="K7" s="11">
        <v>0</v>
      </c>
      <c r="L7" s="12">
        <f t="shared" si="2"/>
        <v>-0.73379310344828141</v>
      </c>
      <c r="M7" s="7">
        <f t="shared" si="3"/>
        <v>-4.275238573581146</v>
      </c>
    </row>
    <row r="8" spans="1:14" x14ac:dyDescent="0.25">
      <c r="A8" s="2">
        <v>4</v>
      </c>
      <c r="B8" s="37" t="s">
        <v>61</v>
      </c>
      <c r="C8" s="4">
        <v>937</v>
      </c>
      <c r="D8" s="23">
        <v>8</v>
      </c>
      <c r="E8" s="6">
        <v>0</v>
      </c>
      <c r="F8" s="7">
        <f t="shared" si="0"/>
        <v>-44</v>
      </c>
      <c r="G8" s="7">
        <f t="shared" si="1"/>
        <v>-4.4852191641182468</v>
      </c>
      <c r="H8" s="8">
        <v>17.18905070118662</v>
      </c>
      <c r="I8" s="9">
        <v>15934.25</v>
      </c>
      <c r="J8" s="20">
        <v>5</v>
      </c>
      <c r="K8" s="11">
        <v>0</v>
      </c>
      <c r="L8" s="12">
        <f t="shared" si="2"/>
        <v>0.7590507011866201</v>
      </c>
      <c r="M8" s="7">
        <f t="shared" si="3"/>
        <v>4.619906884885089</v>
      </c>
    </row>
    <row r="9" spans="1:14" x14ac:dyDescent="0.25">
      <c r="A9" s="2">
        <v>5</v>
      </c>
      <c r="B9" s="37" t="s">
        <v>62</v>
      </c>
      <c r="C9" s="4">
        <v>970</v>
      </c>
      <c r="D9" s="27">
        <v>5</v>
      </c>
      <c r="E9" s="6">
        <v>0</v>
      </c>
      <c r="F9" s="7">
        <f t="shared" si="0"/>
        <v>33</v>
      </c>
      <c r="G9" s="7">
        <f t="shared" si="1"/>
        <v>3.5218783351120595</v>
      </c>
      <c r="H9" s="8">
        <v>16.296760710553819</v>
      </c>
      <c r="I9" s="9">
        <v>15596</v>
      </c>
      <c r="J9" s="22">
        <v>6</v>
      </c>
      <c r="K9" s="11">
        <v>0</v>
      </c>
      <c r="L9" s="12">
        <f t="shared" si="2"/>
        <v>-0.89228999063280057</v>
      </c>
      <c r="M9" s="7">
        <f t="shared" si="3"/>
        <v>-5.1910370511106976</v>
      </c>
    </row>
    <row r="10" spans="1:14" x14ac:dyDescent="0.25">
      <c r="A10" s="2">
        <v>6</v>
      </c>
      <c r="B10" s="37" t="s">
        <v>63</v>
      </c>
      <c r="C10" s="4">
        <v>934</v>
      </c>
      <c r="D10" s="25">
        <v>9</v>
      </c>
      <c r="E10" s="6">
        <v>0</v>
      </c>
      <c r="F10" s="7">
        <f t="shared" si="0"/>
        <v>-36</v>
      </c>
      <c r="G10" s="7">
        <f t="shared" si="1"/>
        <v>-3.7113402061855671</v>
      </c>
      <c r="H10" s="8">
        <v>16.641928494041171</v>
      </c>
      <c r="I10" s="9">
        <v>15360.5</v>
      </c>
      <c r="J10" s="24">
        <v>7</v>
      </c>
      <c r="K10" s="11">
        <v>0</v>
      </c>
      <c r="L10" s="12">
        <f t="shared" si="2"/>
        <v>0.34516778348735144</v>
      </c>
      <c r="M10" s="7">
        <f t="shared" si="3"/>
        <v>2.1180146755411338</v>
      </c>
    </row>
    <row r="11" spans="1:14" x14ac:dyDescent="0.25">
      <c r="A11" s="2">
        <v>7</v>
      </c>
      <c r="B11" s="37" t="s">
        <v>64</v>
      </c>
      <c r="C11" s="4">
        <v>950</v>
      </c>
      <c r="D11" s="21">
        <v>7</v>
      </c>
      <c r="E11" s="6">
        <v>0</v>
      </c>
      <c r="F11" s="7">
        <f t="shared" si="0"/>
        <v>16</v>
      </c>
      <c r="G11" s="7">
        <f t="shared" si="1"/>
        <v>1.7130620985010707</v>
      </c>
      <c r="H11" s="8">
        <v>16.25292553191489</v>
      </c>
      <c r="I11" s="9">
        <v>15277.75</v>
      </c>
      <c r="J11" s="26">
        <v>8</v>
      </c>
      <c r="K11" s="11">
        <v>0</v>
      </c>
      <c r="L11" s="12">
        <f t="shared" si="2"/>
        <v>-0.38900296212628049</v>
      </c>
      <c r="M11" s="7">
        <f t="shared" si="3"/>
        <v>-2.3374872825920829</v>
      </c>
    </row>
    <row r="12" spans="1:14" x14ac:dyDescent="0.25">
      <c r="A12" s="2">
        <v>8</v>
      </c>
      <c r="B12" s="37" t="s">
        <v>65</v>
      </c>
      <c r="C12" s="4">
        <v>997</v>
      </c>
      <c r="D12" s="19">
        <v>1</v>
      </c>
      <c r="E12" s="6">
        <v>0</v>
      </c>
      <c r="F12" s="7">
        <f t="shared" si="0"/>
        <v>47</v>
      </c>
      <c r="G12" s="7">
        <f t="shared" si="1"/>
        <v>4.9473684210526319</v>
      </c>
      <c r="H12" s="8">
        <v>14.13956433637285</v>
      </c>
      <c r="I12" s="9">
        <v>13955.75</v>
      </c>
      <c r="J12" s="28">
        <v>9</v>
      </c>
      <c r="K12" s="11">
        <v>0</v>
      </c>
      <c r="L12" s="12">
        <f t="shared" si="2"/>
        <v>-2.1133611955420406</v>
      </c>
      <c r="M12" s="7">
        <f t="shared" si="3"/>
        <v>-13.002958706678132</v>
      </c>
    </row>
    <row r="13" spans="1:14" ht="18.75" x14ac:dyDescent="0.3">
      <c r="A13" s="2">
        <v>9</v>
      </c>
      <c r="B13" s="37" t="s">
        <v>66</v>
      </c>
      <c r="C13" s="29">
        <f>SUBTOTAL(9,C4:C12)</f>
        <v>8690</v>
      </c>
      <c r="D13" s="30">
        <v>10</v>
      </c>
      <c r="E13" s="31">
        <f>SUBTOTAL(9,E4:E12)</f>
        <v>0</v>
      </c>
      <c r="F13" s="32">
        <f>SUBTOTAL(9,F4:F12)</f>
        <v>10</v>
      </c>
      <c r="G13" s="32">
        <f>SUBTOTAL(9,G4:G12)</f>
        <v>1.4151761456776835</v>
      </c>
      <c r="H13" s="33">
        <f>SUBTOTAL(9,H4:H12)</f>
        <v>148.73872848816978</v>
      </c>
      <c r="I13" s="34">
        <f>SUBTOTAL(9,I4:I12)</f>
        <v>142171.25</v>
      </c>
      <c r="J13" s="35">
        <v>10</v>
      </c>
      <c r="K13" s="31">
        <f>SUBTOTAL(9,K4:K12)</f>
        <v>0</v>
      </c>
      <c r="L13" s="36">
        <f>SUBTOTAL(9,L4:L12)</f>
        <v>-3.1055887248516392</v>
      </c>
      <c r="M13" s="32">
        <f>SUBTOTAL(9,M4:M12)</f>
        <v>-18.530909304665776</v>
      </c>
    </row>
  </sheetData>
  <autoFilter ref="A3:M12" xr:uid="{00000000-0009-0000-0000-000006000000}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68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42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7" t="s">
        <v>65</v>
      </c>
      <c r="C4" s="4">
        <v>997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14.13956433637285</v>
      </c>
      <c r="I4" s="9">
        <v>13955.75</v>
      </c>
      <c r="J4" s="28">
        <v>9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7" t="s">
        <v>57</v>
      </c>
      <c r="C5" s="4">
        <v>987</v>
      </c>
      <c r="D5" s="5">
        <v>2</v>
      </c>
      <c r="E5" s="6">
        <v>0</v>
      </c>
      <c r="F5" s="7">
        <f t="shared" si="0"/>
        <v>-10</v>
      </c>
      <c r="G5" s="7">
        <f t="shared" si="1"/>
        <v>-1.0030090270812437</v>
      </c>
      <c r="H5" s="8">
        <v>17.245153061224489</v>
      </c>
      <c r="I5" s="9">
        <v>16900.25</v>
      </c>
      <c r="J5" s="10">
        <v>1</v>
      </c>
      <c r="K5" s="11">
        <v>0</v>
      </c>
      <c r="L5" s="12">
        <f t="shared" si="2"/>
        <v>3.1055887248516392</v>
      </c>
      <c r="M5" s="7">
        <f t="shared" si="3"/>
        <v>21.9638218757757</v>
      </c>
    </row>
    <row r="6" spans="1:14" x14ac:dyDescent="0.25">
      <c r="A6" s="2">
        <v>2</v>
      </c>
      <c r="B6" s="37" t="s">
        <v>60</v>
      </c>
      <c r="C6" s="4">
        <v>981</v>
      </c>
      <c r="D6" s="13">
        <v>3</v>
      </c>
      <c r="E6" s="6">
        <v>0</v>
      </c>
      <c r="F6" s="7">
        <f t="shared" si="0"/>
        <v>-6</v>
      </c>
      <c r="G6" s="7">
        <f t="shared" si="1"/>
        <v>-0.60790273556231</v>
      </c>
      <c r="H6" s="8">
        <v>16.43</v>
      </c>
      <c r="I6" s="9">
        <v>16019.25</v>
      </c>
      <c r="J6" s="18">
        <v>4</v>
      </c>
      <c r="K6" s="11">
        <v>0</v>
      </c>
      <c r="L6" s="12">
        <f t="shared" si="2"/>
        <v>-0.81515306122448905</v>
      </c>
      <c r="M6" s="7">
        <f t="shared" si="3"/>
        <v>-4.7268531530598619</v>
      </c>
    </row>
    <row r="7" spans="1:14" x14ac:dyDescent="0.25">
      <c r="A7" s="2">
        <v>3</v>
      </c>
      <c r="B7" s="37" t="s">
        <v>58</v>
      </c>
      <c r="C7" s="4">
        <v>973</v>
      </c>
      <c r="D7" s="15">
        <v>4</v>
      </c>
      <c r="E7" s="6">
        <v>0</v>
      </c>
      <c r="F7" s="7">
        <f t="shared" si="0"/>
        <v>-8</v>
      </c>
      <c r="G7" s="7">
        <f t="shared" si="1"/>
        <v>-0.81549439347604491</v>
      </c>
      <c r="H7" s="8">
        <v>17.379552549427679</v>
      </c>
      <c r="I7" s="9">
        <v>16701.75</v>
      </c>
      <c r="J7" s="14">
        <v>2</v>
      </c>
      <c r="K7" s="11">
        <v>0</v>
      </c>
      <c r="L7" s="12">
        <f t="shared" si="2"/>
        <v>0.94955254942767908</v>
      </c>
      <c r="M7" s="7">
        <f t="shared" si="3"/>
        <v>5.7793825284703537</v>
      </c>
    </row>
    <row r="8" spans="1:14" x14ac:dyDescent="0.25">
      <c r="A8" s="2">
        <v>4</v>
      </c>
      <c r="B8" s="37" t="s">
        <v>62</v>
      </c>
      <c r="C8" s="4">
        <v>970</v>
      </c>
      <c r="D8" s="27">
        <v>5</v>
      </c>
      <c r="E8" s="6">
        <v>0</v>
      </c>
      <c r="F8" s="7">
        <f t="shared" si="0"/>
        <v>-3</v>
      </c>
      <c r="G8" s="7">
        <f t="shared" si="1"/>
        <v>-0.3083247687564234</v>
      </c>
      <c r="H8" s="8">
        <v>16.296760710553819</v>
      </c>
      <c r="I8" s="9">
        <v>15596</v>
      </c>
      <c r="J8" s="22">
        <v>6</v>
      </c>
      <c r="K8" s="11">
        <v>0</v>
      </c>
      <c r="L8" s="12">
        <f t="shared" si="2"/>
        <v>-1.0827918388738595</v>
      </c>
      <c r="M8" s="7">
        <f t="shared" si="3"/>
        <v>-6.2302630392490554</v>
      </c>
    </row>
    <row r="9" spans="1:14" x14ac:dyDescent="0.25">
      <c r="A9" s="2">
        <v>5</v>
      </c>
      <c r="B9" s="37" t="s">
        <v>59</v>
      </c>
      <c r="C9" s="4">
        <v>961</v>
      </c>
      <c r="D9" s="17">
        <v>6</v>
      </c>
      <c r="E9" s="6">
        <v>0</v>
      </c>
      <c r="F9" s="7">
        <f t="shared" si="0"/>
        <v>-9</v>
      </c>
      <c r="G9" s="7">
        <f t="shared" si="1"/>
        <v>-0.92783505154639179</v>
      </c>
      <c r="H9" s="8">
        <v>17.163793103448281</v>
      </c>
      <c r="I9" s="9">
        <v>16425.75</v>
      </c>
      <c r="J9" s="16">
        <v>3</v>
      </c>
      <c r="K9" s="11">
        <v>0</v>
      </c>
      <c r="L9" s="12">
        <f t="shared" si="2"/>
        <v>0.86703239289446188</v>
      </c>
      <c r="M9" s="7">
        <f t="shared" si="3"/>
        <v>5.3202744293408548</v>
      </c>
    </row>
    <row r="10" spans="1:14" x14ac:dyDescent="0.25">
      <c r="A10" s="2">
        <v>6</v>
      </c>
      <c r="B10" s="37" t="s">
        <v>64</v>
      </c>
      <c r="C10" s="4">
        <v>950</v>
      </c>
      <c r="D10" s="21">
        <v>7</v>
      </c>
      <c r="E10" s="6">
        <v>0</v>
      </c>
      <c r="F10" s="7">
        <f t="shared" si="0"/>
        <v>-11</v>
      </c>
      <c r="G10" s="7">
        <f t="shared" si="1"/>
        <v>-1.1446409989594173</v>
      </c>
      <c r="H10" s="8">
        <v>16.25292553191489</v>
      </c>
      <c r="I10" s="9">
        <v>15277.75</v>
      </c>
      <c r="J10" s="26">
        <v>8</v>
      </c>
      <c r="K10" s="11">
        <v>0</v>
      </c>
      <c r="L10" s="12">
        <f t="shared" si="2"/>
        <v>-0.91086757153339093</v>
      </c>
      <c r="M10" s="7">
        <f t="shared" si="3"/>
        <v>-5.3069130234994137</v>
      </c>
    </row>
    <row r="11" spans="1:14" x14ac:dyDescent="0.25">
      <c r="A11" s="2">
        <v>7</v>
      </c>
      <c r="B11" s="37" t="s">
        <v>61</v>
      </c>
      <c r="C11" s="4">
        <v>937</v>
      </c>
      <c r="D11" s="23">
        <v>8</v>
      </c>
      <c r="E11" s="6">
        <v>0</v>
      </c>
      <c r="F11" s="7">
        <f t="shared" si="0"/>
        <v>-13</v>
      </c>
      <c r="G11" s="7">
        <f t="shared" si="1"/>
        <v>-1.368421052631579</v>
      </c>
      <c r="H11" s="8">
        <v>17.18905070118662</v>
      </c>
      <c r="I11" s="9">
        <v>15934.25</v>
      </c>
      <c r="J11" s="20">
        <v>5</v>
      </c>
      <c r="K11" s="11">
        <v>0</v>
      </c>
      <c r="L11" s="12">
        <f t="shared" si="2"/>
        <v>0.93612516927172962</v>
      </c>
      <c r="M11" s="7">
        <f t="shared" si="3"/>
        <v>5.7597333319070287</v>
      </c>
    </row>
    <row r="12" spans="1:14" x14ac:dyDescent="0.25">
      <c r="A12" s="2">
        <v>8</v>
      </c>
      <c r="B12" s="37" t="s">
        <v>63</v>
      </c>
      <c r="C12" s="4">
        <v>934</v>
      </c>
      <c r="D12" s="25">
        <v>9</v>
      </c>
      <c r="E12" s="6">
        <v>0</v>
      </c>
      <c r="F12" s="7">
        <f t="shared" si="0"/>
        <v>-3</v>
      </c>
      <c r="G12" s="7">
        <f t="shared" si="1"/>
        <v>-0.32017075773745995</v>
      </c>
      <c r="H12" s="8">
        <v>16.641928494041171</v>
      </c>
      <c r="I12" s="9">
        <v>15360.5</v>
      </c>
      <c r="J12" s="24">
        <v>7</v>
      </c>
      <c r="K12" s="11">
        <v>0</v>
      </c>
      <c r="L12" s="12">
        <f t="shared" si="2"/>
        <v>-0.54712220714544912</v>
      </c>
      <c r="M12" s="7">
        <f t="shared" si="3"/>
        <v>-3.1829693021248664</v>
      </c>
    </row>
    <row r="13" spans="1:14" ht="18.75" x14ac:dyDescent="0.3">
      <c r="A13" s="2">
        <v>9</v>
      </c>
      <c r="B13" s="37" t="s">
        <v>66</v>
      </c>
      <c r="C13" s="29">
        <f>SUBTOTAL(9,C4:C12)</f>
        <v>8690</v>
      </c>
      <c r="D13" s="30">
        <v>10</v>
      </c>
      <c r="E13" s="31">
        <f>SUBTOTAL(9,E4:E12)</f>
        <v>0</v>
      </c>
      <c r="F13" s="32">
        <f>SUBTOTAL(9,F4:F12)</f>
        <v>-63</v>
      </c>
      <c r="G13" s="32">
        <f>SUBTOTAL(9,G4:G12)</f>
        <v>-6.4957987857508694</v>
      </c>
      <c r="H13" s="33">
        <f>SUBTOTAL(9,H4:H12)</f>
        <v>148.73872848816981</v>
      </c>
      <c r="I13" s="34">
        <f>SUBTOTAL(9,I4:I12)</f>
        <v>142171.25</v>
      </c>
      <c r="J13" s="35">
        <v>10</v>
      </c>
      <c r="K13" s="31">
        <f>SUBTOTAL(9,K4:K12)</f>
        <v>0</v>
      </c>
      <c r="L13" s="36">
        <f>SUBTOTAL(9,L4:L12)</f>
        <v>2.5023641576683211</v>
      </c>
      <c r="M13" s="32">
        <f>SUBTOTAL(9,M4:M12)</f>
        <v>19.376213647560739</v>
      </c>
    </row>
  </sheetData>
  <autoFilter ref="A3:M12" xr:uid="{00000000-0009-0000-0000-000007000000}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31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80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69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8" t="s">
        <v>70</v>
      </c>
      <c r="C4" s="4">
        <v>2371</v>
      </c>
      <c r="D4" s="15">
        <v>4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18.762095032397411</v>
      </c>
      <c r="I4" s="9">
        <v>43434.25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8" t="s">
        <v>71</v>
      </c>
      <c r="C5" s="4">
        <v>2432</v>
      </c>
      <c r="D5" s="5">
        <v>2</v>
      </c>
      <c r="E5" s="6">
        <v>0</v>
      </c>
      <c r="F5" s="7">
        <f t="shared" si="0"/>
        <v>61</v>
      </c>
      <c r="G5" s="7">
        <f t="shared" si="1"/>
        <v>2.5727541121889499</v>
      </c>
      <c r="H5" s="8">
        <v>18.030354131534569</v>
      </c>
      <c r="I5" s="9">
        <v>42768</v>
      </c>
      <c r="J5" s="14">
        <v>2</v>
      </c>
      <c r="K5" s="11">
        <v>0</v>
      </c>
      <c r="L5" s="12">
        <f t="shared" si="2"/>
        <v>-0.73174090086284238</v>
      </c>
      <c r="M5" s="7">
        <f t="shared" si="3"/>
        <v>-3.9001023052026449</v>
      </c>
    </row>
    <row r="6" spans="1:14" ht="30" x14ac:dyDescent="0.25">
      <c r="A6" s="2">
        <v>2</v>
      </c>
      <c r="B6" s="38" t="s">
        <v>72</v>
      </c>
      <c r="C6" s="4">
        <v>2370</v>
      </c>
      <c r="D6" s="27">
        <v>5</v>
      </c>
      <c r="E6" s="6">
        <v>0</v>
      </c>
      <c r="F6" s="7">
        <f t="shared" si="0"/>
        <v>-62</v>
      </c>
      <c r="G6" s="7">
        <f t="shared" si="1"/>
        <v>-2.549342105263158</v>
      </c>
      <c r="H6" s="8">
        <v>17.98848827106864</v>
      </c>
      <c r="I6" s="9">
        <v>41409.5</v>
      </c>
      <c r="J6" s="16">
        <v>3</v>
      </c>
      <c r="K6" s="11">
        <v>0</v>
      </c>
      <c r="L6" s="12">
        <f t="shared" si="2"/>
        <v>-4.1865860465929217E-2</v>
      </c>
      <c r="M6" s="7">
        <f t="shared" si="3"/>
        <v>-0.232196551218631</v>
      </c>
    </row>
    <row r="7" spans="1:14" x14ac:dyDescent="0.25">
      <c r="A7" s="2">
        <v>3</v>
      </c>
      <c r="B7" s="38" t="s">
        <v>73</v>
      </c>
      <c r="C7" s="4">
        <v>2453</v>
      </c>
      <c r="D7" s="19">
        <v>1</v>
      </c>
      <c r="E7" s="6">
        <v>0</v>
      </c>
      <c r="F7" s="7">
        <f t="shared" si="0"/>
        <v>83</v>
      </c>
      <c r="G7" s="7">
        <f t="shared" si="1"/>
        <v>3.5021097046413501</v>
      </c>
      <c r="H7" s="8">
        <v>15.803187086092709</v>
      </c>
      <c r="I7" s="9">
        <v>38180.5</v>
      </c>
      <c r="J7" s="18">
        <v>4</v>
      </c>
      <c r="K7" s="11">
        <v>0</v>
      </c>
      <c r="L7" s="12">
        <f t="shared" si="2"/>
        <v>-2.1853011849759305</v>
      </c>
      <c r="M7" s="7">
        <f t="shared" si="3"/>
        <v>-12.148331488703295</v>
      </c>
    </row>
    <row r="8" spans="1:14" x14ac:dyDescent="0.25">
      <c r="A8" s="2">
        <v>4</v>
      </c>
      <c r="B8" s="38" t="s">
        <v>74</v>
      </c>
      <c r="C8" s="4">
        <v>1924</v>
      </c>
      <c r="D8" s="21">
        <v>7</v>
      </c>
      <c r="E8" s="6">
        <v>0</v>
      </c>
      <c r="F8" s="7">
        <f t="shared" si="0"/>
        <v>-529</v>
      </c>
      <c r="G8" s="7">
        <f t="shared" si="1"/>
        <v>-21.565430085609457</v>
      </c>
      <c r="H8" s="8">
        <v>18.458532061473239</v>
      </c>
      <c r="I8" s="9">
        <v>34831.25</v>
      </c>
      <c r="J8" s="20">
        <v>5</v>
      </c>
      <c r="K8" s="11">
        <v>0</v>
      </c>
      <c r="L8" s="12">
        <f t="shared" si="2"/>
        <v>2.6553449753805296</v>
      </c>
      <c r="M8" s="7">
        <f t="shared" si="3"/>
        <v>16.802591533686993</v>
      </c>
    </row>
    <row r="9" spans="1:14" ht="30" x14ac:dyDescent="0.25">
      <c r="A9" s="2">
        <v>5</v>
      </c>
      <c r="B9" s="38" t="s">
        <v>75</v>
      </c>
      <c r="C9" s="4">
        <v>1917</v>
      </c>
      <c r="D9" s="23">
        <v>8</v>
      </c>
      <c r="E9" s="6">
        <v>0</v>
      </c>
      <c r="F9" s="7">
        <f t="shared" si="0"/>
        <v>-7</v>
      </c>
      <c r="G9" s="7">
        <f t="shared" si="1"/>
        <v>-0.36382536382536385</v>
      </c>
      <c r="H9" s="8">
        <v>18.411538461538459</v>
      </c>
      <c r="I9" s="9">
        <v>34705.75</v>
      </c>
      <c r="J9" s="22">
        <v>6</v>
      </c>
      <c r="K9" s="11">
        <v>0</v>
      </c>
      <c r="L9" s="12">
        <f t="shared" si="2"/>
        <v>-4.6993599934779695E-2</v>
      </c>
      <c r="M9" s="7">
        <f t="shared" si="3"/>
        <v>-0.25459012546758808</v>
      </c>
    </row>
    <row r="10" spans="1:14" x14ac:dyDescent="0.25">
      <c r="A10" s="2">
        <v>6</v>
      </c>
      <c r="B10" s="38" t="s">
        <v>76</v>
      </c>
      <c r="C10" s="4">
        <v>1884</v>
      </c>
      <c r="D10" s="30">
        <v>10</v>
      </c>
      <c r="E10" s="6">
        <v>0</v>
      </c>
      <c r="F10" s="7">
        <f t="shared" si="0"/>
        <v>-33</v>
      </c>
      <c r="G10" s="7">
        <f t="shared" si="1"/>
        <v>-1.7214397496087637</v>
      </c>
      <c r="H10" s="8">
        <v>18.105327203893999</v>
      </c>
      <c r="I10" s="9">
        <v>33476.75</v>
      </c>
      <c r="J10" s="24">
        <v>7</v>
      </c>
      <c r="K10" s="11">
        <v>0</v>
      </c>
      <c r="L10" s="12">
        <f t="shared" si="2"/>
        <v>-0.30621125764445978</v>
      </c>
      <c r="M10" s="7">
        <f t="shared" si="3"/>
        <v>-1.6631486732308243</v>
      </c>
    </row>
    <row r="11" spans="1:14" x14ac:dyDescent="0.25">
      <c r="A11" s="2">
        <v>7</v>
      </c>
      <c r="B11" s="38" t="s">
        <v>77</v>
      </c>
      <c r="C11" s="4">
        <v>2422</v>
      </c>
      <c r="D11" s="13">
        <v>3</v>
      </c>
      <c r="E11" s="6">
        <v>0</v>
      </c>
      <c r="F11" s="7">
        <f t="shared" si="0"/>
        <v>538</v>
      </c>
      <c r="G11" s="7">
        <f t="shared" si="1"/>
        <v>28.556263269639064</v>
      </c>
      <c r="H11" s="8">
        <v>13.617405063291139</v>
      </c>
      <c r="I11" s="9">
        <v>32273.25</v>
      </c>
      <c r="J11" s="26">
        <v>8</v>
      </c>
      <c r="K11" s="11">
        <v>0</v>
      </c>
      <c r="L11" s="12">
        <f t="shared" si="2"/>
        <v>-4.4879221406028602</v>
      </c>
      <c r="M11" s="7">
        <f t="shared" si="3"/>
        <v>-24.787854370495008</v>
      </c>
    </row>
    <row r="12" spans="1:14" x14ac:dyDescent="0.25">
      <c r="A12" s="2">
        <v>8</v>
      </c>
      <c r="B12" s="38" t="s">
        <v>78</v>
      </c>
      <c r="C12" s="4">
        <v>1902</v>
      </c>
      <c r="D12" s="25">
        <v>9</v>
      </c>
      <c r="E12" s="6">
        <v>0</v>
      </c>
      <c r="F12" s="7">
        <f t="shared" si="0"/>
        <v>-520</v>
      </c>
      <c r="G12" s="7">
        <f t="shared" si="1"/>
        <v>-21.469859620148636</v>
      </c>
      <c r="H12" s="8">
        <v>17.440918918918921</v>
      </c>
      <c r="I12" s="9">
        <v>32265.7</v>
      </c>
      <c r="J12" s="28">
        <v>9</v>
      </c>
      <c r="K12" s="11">
        <v>0</v>
      </c>
      <c r="L12" s="12">
        <f t="shared" si="2"/>
        <v>3.8235138556277821</v>
      </c>
      <c r="M12" s="7">
        <f t="shared" si="3"/>
        <v>28.078138513592044</v>
      </c>
    </row>
    <row r="13" spans="1:14" ht="18.75" x14ac:dyDescent="0.3">
      <c r="A13" s="2">
        <v>9</v>
      </c>
      <c r="B13" s="38" t="s">
        <v>79</v>
      </c>
      <c r="C13" s="29">
        <f>SUBTOTAL(9,C4:C12)</f>
        <v>19675</v>
      </c>
      <c r="D13" s="17">
        <v>6</v>
      </c>
      <c r="E13" s="31">
        <f>SUBTOTAL(9,E4:E12)</f>
        <v>0</v>
      </c>
      <c r="F13" s="32">
        <f>SUBTOTAL(9,F4:F12)</f>
        <v>-469</v>
      </c>
      <c r="G13" s="32">
        <f>SUBTOTAL(9,G4:G12)</f>
        <v>-13.038769837986013</v>
      </c>
      <c r="H13" s="33">
        <f>SUBTOTAL(9,H4:H12)</f>
        <v>156.61784623020907</v>
      </c>
      <c r="I13" s="34">
        <f>SUBTOTAL(9,I4:I12)</f>
        <v>333344.95</v>
      </c>
      <c r="J13" s="35">
        <v>10</v>
      </c>
      <c r="K13" s="31">
        <f>SUBTOTAL(9,K4:K12)</f>
        <v>0</v>
      </c>
      <c r="L13" s="36">
        <f>SUBTOTAL(9,L4:L12)</f>
        <v>-1.3211761134784901</v>
      </c>
      <c r="M13" s="32">
        <f>SUBTOTAL(9,M4:M12)</f>
        <v>1.8945065329610458</v>
      </c>
    </row>
  </sheetData>
  <autoFilter ref="A3:M12" xr:uid="{00000000-0009-0000-0000-000008000000}"/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91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69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8" t="s">
        <v>81</v>
      </c>
      <c r="C4" s="4">
        <v>997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14.13956433637285</v>
      </c>
      <c r="I4" s="9">
        <v>13955.75</v>
      </c>
      <c r="J4" s="28">
        <v>9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8" t="s">
        <v>82</v>
      </c>
      <c r="C5" s="4">
        <v>987</v>
      </c>
      <c r="D5" s="5">
        <v>2</v>
      </c>
      <c r="E5" s="6">
        <v>0</v>
      </c>
      <c r="F5" s="7">
        <f t="shared" si="0"/>
        <v>-10</v>
      </c>
      <c r="G5" s="7">
        <f t="shared" si="1"/>
        <v>-1.0030090270812437</v>
      </c>
      <c r="H5" s="8">
        <v>17.245153061224489</v>
      </c>
      <c r="I5" s="9">
        <v>16900.25</v>
      </c>
      <c r="J5" s="10">
        <v>1</v>
      </c>
      <c r="K5" s="11">
        <v>0</v>
      </c>
      <c r="L5" s="12">
        <f t="shared" si="2"/>
        <v>3.1055887248516392</v>
      </c>
      <c r="M5" s="7">
        <f t="shared" si="3"/>
        <v>21.9638218757757</v>
      </c>
    </row>
    <row r="6" spans="1:14" ht="30" x14ac:dyDescent="0.25">
      <c r="A6" s="2">
        <v>2</v>
      </c>
      <c r="B6" s="38" t="s">
        <v>83</v>
      </c>
      <c r="C6" s="4">
        <v>981</v>
      </c>
      <c r="D6" s="13">
        <v>3</v>
      </c>
      <c r="E6" s="6">
        <v>0</v>
      </c>
      <c r="F6" s="7">
        <f t="shared" si="0"/>
        <v>-6</v>
      </c>
      <c r="G6" s="7">
        <f t="shared" si="1"/>
        <v>-0.60790273556231</v>
      </c>
      <c r="H6" s="8">
        <v>16.43</v>
      </c>
      <c r="I6" s="9">
        <v>16019.25</v>
      </c>
      <c r="J6" s="18">
        <v>4</v>
      </c>
      <c r="K6" s="11">
        <v>0</v>
      </c>
      <c r="L6" s="12">
        <f t="shared" si="2"/>
        <v>-0.81515306122448905</v>
      </c>
      <c r="M6" s="7">
        <f t="shared" si="3"/>
        <v>-4.7268531530598619</v>
      </c>
    </row>
    <row r="7" spans="1:14" x14ac:dyDescent="0.25">
      <c r="A7" s="2">
        <v>3</v>
      </c>
      <c r="B7" s="38" t="s">
        <v>84</v>
      </c>
      <c r="C7" s="4">
        <v>973</v>
      </c>
      <c r="D7" s="15">
        <v>4</v>
      </c>
      <c r="E7" s="6">
        <v>0</v>
      </c>
      <c r="F7" s="7">
        <f t="shared" si="0"/>
        <v>-8</v>
      </c>
      <c r="G7" s="7">
        <f t="shared" si="1"/>
        <v>-0.81549439347604491</v>
      </c>
      <c r="H7" s="8">
        <v>17.379552549427679</v>
      </c>
      <c r="I7" s="9">
        <v>16701.75</v>
      </c>
      <c r="J7" s="14">
        <v>2</v>
      </c>
      <c r="K7" s="11">
        <v>0</v>
      </c>
      <c r="L7" s="12">
        <f t="shared" si="2"/>
        <v>0.94955254942767908</v>
      </c>
      <c r="M7" s="7">
        <f t="shared" si="3"/>
        <v>5.7793825284703537</v>
      </c>
    </row>
    <row r="8" spans="1:14" x14ac:dyDescent="0.25">
      <c r="A8" s="2">
        <v>4</v>
      </c>
      <c r="B8" s="38" t="s">
        <v>85</v>
      </c>
      <c r="C8" s="4">
        <v>970</v>
      </c>
      <c r="D8" s="27">
        <v>5</v>
      </c>
      <c r="E8" s="6">
        <v>0</v>
      </c>
      <c r="F8" s="7">
        <f t="shared" si="0"/>
        <v>-3</v>
      </c>
      <c r="G8" s="7">
        <f t="shared" si="1"/>
        <v>-0.3083247687564234</v>
      </c>
      <c r="H8" s="8">
        <v>16.296760710553819</v>
      </c>
      <c r="I8" s="9">
        <v>15596</v>
      </c>
      <c r="J8" s="22">
        <v>6</v>
      </c>
      <c r="K8" s="11">
        <v>0</v>
      </c>
      <c r="L8" s="12">
        <f t="shared" si="2"/>
        <v>-1.0827918388738595</v>
      </c>
      <c r="M8" s="7">
        <f t="shared" si="3"/>
        <v>-6.2302630392490554</v>
      </c>
    </row>
    <row r="9" spans="1:14" x14ac:dyDescent="0.25">
      <c r="A9" s="2">
        <v>5</v>
      </c>
      <c r="B9" s="38" t="s">
        <v>86</v>
      </c>
      <c r="C9" s="4">
        <v>961</v>
      </c>
      <c r="D9" s="17">
        <v>6</v>
      </c>
      <c r="E9" s="6">
        <v>0</v>
      </c>
      <c r="F9" s="7">
        <f t="shared" si="0"/>
        <v>-9</v>
      </c>
      <c r="G9" s="7">
        <f t="shared" si="1"/>
        <v>-0.92783505154639179</v>
      </c>
      <c r="H9" s="8">
        <v>17.163793103448281</v>
      </c>
      <c r="I9" s="9">
        <v>16425.75</v>
      </c>
      <c r="J9" s="16">
        <v>3</v>
      </c>
      <c r="K9" s="11">
        <v>0</v>
      </c>
      <c r="L9" s="12">
        <f t="shared" si="2"/>
        <v>0.86703239289446188</v>
      </c>
      <c r="M9" s="7">
        <f t="shared" si="3"/>
        <v>5.3202744293408548</v>
      </c>
    </row>
    <row r="10" spans="1:14" x14ac:dyDescent="0.25">
      <c r="A10" s="2">
        <v>6</v>
      </c>
      <c r="B10" s="38" t="s">
        <v>87</v>
      </c>
      <c r="C10" s="4">
        <v>950</v>
      </c>
      <c r="D10" s="21">
        <v>7</v>
      </c>
      <c r="E10" s="6">
        <v>0</v>
      </c>
      <c r="F10" s="7">
        <f t="shared" si="0"/>
        <v>-11</v>
      </c>
      <c r="G10" s="7">
        <f t="shared" si="1"/>
        <v>-1.1446409989594173</v>
      </c>
      <c r="H10" s="8">
        <v>16.25292553191489</v>
      </c>
      <c r="I10" s="9">
        <v>15277.75</v>
      </c>
      <c r="J10" s="26">
        <v>8</v>
      </c>
      <c r="K10" s="11">
        <v>0</v>
      </c>
      <c r="L10" s="12">
        <f t="shared" si="2"/>
        <v>-0.91086757153339093</v>
      </c>
      <c r="M10" s="7">
        <f t="shared" si="3"/>
        <v>-5.3069130234994137</v>
      </c>
    </row>
    <row r="11" spans="1:14" x14ac:dyDescent="0.25">
      <c r="A11" s="2">
        <v>7</v>
      </c>
      <c r="B11" s="38" t="s">
        <v>88</v>
      </c>
      <c r="C11" s="4">
        <v>937</v>
      </c>
      <c r="D11" s="23">
        <v>8</v>
      </c>
      <c r="E11" s="6">
        <v>0</v>
      </c>
      <c r="F11" s="7">
        <f t="shared" si="0"/>
        <v>-13</v>
      </c>
      <c r="G11" s="7">
        <f t="shared" si="1"/>
        <v>-1.368421052631579</v>
      </c>
      <c r="H11" s="8">
        <v>17.18905070118662</v>
      </c>
      <c r="I11" s="9">
        <v>15934.25</v>
      </c>
      <c r="J11" s="20">
        <v>5</v>
      </c>
      <c r="K11" s="11">
        <v>0</v>
      </c>
      <c r="L11" s="12">
        <f t="shared" si="2"/>
        <v>0.93612516927172962</v>
      </c>
      <c r="M11" s="7">
        <f t="shared" si="3"/>
        <v>5.7597333319070287</v>
      </c>
    </row>
    <row r="12" spans="1:14" x14ac:dyDescent="0.25">
      <c r="A12" s="2">
        <v>8</v>
      </c>
      <c r="B12" s="38" t="s">
        <v>89</v>
      </c>
      <c r="C12" s="4">
        <v>934</v>
      </c>
      <c r="D12" s="25">
        <v>9</v>
      </c>
      <c r="E12" s="6">
        <v>0</v>
      </c>
      <c r="F12" s="7">
        <f t="shared" si="0"/>
        <v>-3</v>
      </c>
      <c r="G12" s="7">
        <f t="shared" si="1"/>
        <v>-0.32017075773745995</v>
      </c>
      <c r="H12" s="8">
        <v>16.641928494041171</v>
      </c>
      <c r="I12" s="9">
        <v>15360.5</v>
      </c>
      <c r="J12" s="24">
        <v>7</v>
      </c>
      <c r="K12" s="11">
        <v>0</v>
      </c>
      <c r="L12" s="12">
        <f t="shared" si="2"/>
        <v>-0.54712220714544912</v>
      </c>
      <c r="M12" s="7">
        <f t="shared" si="3"/>
        <v>-3.1829693021248664</v>
      </c>
    </row>
    <row r="13" spans="1:14" ht="18.75" x14ac:dyDescent="0.3">
      <c r="A13" s="2">
        <v>9</v>
      </c>
      <c r="B13" s="38" t="s">
        <v>90</v>
      </c>
      <c r="C13" s="29">
        <f>SUBTOTAL(9,C4:C12)</f>
        <v>8690</v>
      </c>
      <c r="D13" s="30">
        <v>10</v>
      </c>
      <c r="E13" s="31">
        <f>SUBTOTAL(9,E4:E12)</f>
        <v>0</v>
      </c>
      <c r="F13" s="32">
        <f>SUBTOTAL(9,F4:F12)</f>
        <v>-63</v>
      </c>
      <c r="G13" s="32">
        <f>SUBTOTAL(9,G4:G12)</f>
        <v>-6.4957987857508694</v>
      </c>
      <c r="H13" s="33">
        <f>SUBTOTAL(9,H4:H12)</f>
        <v>148.73872848816981</v>
      </c>
      <c r="I13" s="34">
        <f>SUBTOTAL(9,I4:I12)</f>
        <v>142171.25</v>
      </c>
      <c r="J13" s="35">
        <v>10</v>
      </c>
      <c r="K13" s="31">
        <f>SUBTOTAL(9,K4:K12)</f>
        <v>0</v>
      </c>
      <c r="L13" s="36">
        <f>SUBTOTAL(9,L4:L12)</f>
        <v>2.5023641576683211</v>
      </c>
      <c r="M13" s="32">
        <f>SUBTOTAL(9,M4:M12)</f>
        <v>19.376213647560739</v>
      </c>
    </row>
  </sheetData>
  <autoFilter ref="A3:M12" xr:uid="{00000000-0009-0000-0000-000009000000}"/>
  <mergeCells count="1">
    <mergeCell ref="A1:N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92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69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8" t="s">
        <v>82</v>
      </c>
      <c r="C4" s="4">
        <v>987</v>
      </c>
      <c r="D4" s="5">
        <v>2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17.245153061224489</v>
      </c>
      <c r="I4" s="9">
        <v>16900.25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8" t="s">
        <v>84</v>
      </c>
      <c r="C5" s="4">
        <v>973</v>
      </c>
      <c r="D5" s="15">
        <v>4</v>
      </c>
      <c r="E5" s="6">
        <v>0</v>
      </c>
      <c r="F5" s="7">
        <f t="shared" si="0"/>
        <v>-14</v>
      </c>
      <c r="G5" s="7">
        <f t="shared" si="1"/>
        <v>-1.4184397163120568</v>
      </c>
      <c r="H5" s="8">
        <v>17.379552549427679</v>
      </c>
      <c r="I5" s="9">
        <v>16701.75</v>
      </c>
      <c r="J5" s="14">
        <v>2</v>
      </c>
      <c r="K5" s="11">
        <v>0</v>
      </c>
      <c r="L5" s="12">
        <f t="shared" si="2"/>
        <v>0.13439948820319003</v>
      </c>
      <c r="M5" s="7">
        <f t="shared" si="3"/>
        <v>0.77934645013609993</v>
      </c>
    </row>
    <row r="6" spans="1:14" x14ac:dyDescent="0.25">
      <c r="A6" s="2">
        <v>2</v>
      </c>
      <c r="B6" s="38" t="s">
        <v>86</v>
      </c>
      <c r="C6" s="4">
        <v>961</v>
      </c>
      <c r="D6" s="17">
        <v>6</v>
      </c>
      <c r="E6" s="6">
        <v>0</v>
      </c>
      <c r="F6" s="7">
        <f t="shared" si="0"/>
        <v>-12</v>
      </c>
      <c r="G6" s="7">
        <f t="shared" si="1"/>
        <v>-1.2332990750256936</v>
      </c>
      <c r="H6" s="8">
        <v>17.163793103448281</v>
      </c>
      <c r="I6" s="9">
        <v>16425.75</v>
      </c>
      <c r="J6" s="16">
        <v>3</v>
      </c>
      <c r="K6" s="11">
        <v>0</v>
      </c>
      <c r="L6" s="12">
        <f t="shared" si="2"/>
        <v>-0.21575944597939767</v>
      </c>
      <c r="M6" s="7">
        <f t="shared" si="3"/>
        <v>-1.2414557012660419</v>
      </c>
    </row>
    <row r="7" spans="1:14" ht="30" x14ac:dyDescent="0.25">
      <c r="A7" s="2">
        <v>3</v>
      </c>
      <c r="B7" s="38" t="s">
        <v>83</v>
      </c>
      <c r="C7" s="4">
        <v>981</v>
      </c>
      <c r="D7" s="13">
        <v>3</v>
      </c>
      <c r="E7" s="6">
        <v>0</v>
      </c>
      <c r="F7" s="7">
        <f t="shared" si="0"/>
        <v>20</v>
      </c>
      <c r="G7" s="7">
        <f t="shared" si="1"/>
        <v>2.0811654526534862</v>
      </c>
      <c r="H7" s="8">
        <v>16.43</v>
      </c>
      <c r="I7" s="9">
        <v>16019.25</v>
      </c>
      <c r="J7" s="18">
        <v>4</v>
      </c>
      <c r="K7" s="11">
        <v>0</v>
      </c>
      <c r="L7" s="12">
        <f t="shared" si="2"/>
        <v>-0.73379310344828141</v>
      </c>
      <c r="M7" s="7">
        <f t="shared" si="3"/>
        <v>-4.275238573581146</v>
      </c>
    </row>
    <row r="8" spans="1:14" x14ac:dyDescent="0.25">
      <c r="A8" s="2">
        <v>4</v>
      </c>
      <c r="B8" s="38" t="s">
        <v>88</v>
      </c>
      <c r="C8" s="4">
        <v>937</v>
      </c>
      <c r="D8" s="23">
        <v>8</v>
      </c>
      <c r="E8" s="6">
        <v>0</v>
      </c>
      <c r="F8" s="7">
        <f t="shared" si="0"/>
        <v>-44</v>
      </c>
      <c r="G8" s="7">
        <f t="shared" si="1"/>
        <v>-4.4852191641182468</v>
      </c>
      <c r="H8" s="8">
        <v>17.18905070118662</v>
      </c>
      <c r="I8" s="9">
        <v>15934.25</v>
      </c>
      <c r="J8" s="20">
        <v>5</v>
      </c>
      <c r="K8" s="11">
        <v>0</v>
      </c>
      <c r="L8" s="12">
        <f t="shared" si="2"/>
        <v>0.7590507011866201</v>
      </c>
      <c r="M8" s="7">
        <f t="shared" si="3"/>
        <v>4.619906884885089</v>
      </c>
    </row>
    <row r="9" spans="1:14" x14ac:dyDescent="0.25">
      <c r="A9" s="2">
        <v>5</v>
      </c>
      <c r="B9" s="38" t="s">
        <v>85</v>
      </c>
      <c r="C9" s="4">
        <v>970</v>
      </c>
      <c r="D9" s="27">
        <v>5</v>
      </c>
      <c r="E9" s="6">
        <v>0</v>
      </c>
      <c r="F9" s="7">
        <f t="shared" si="0"/>
        <v>33</v>
      </c>
      <c r="G9" s="7">
        <f t="shared" si="1"/>
        <v>3.5218783351120595</v>
      </c>
      <c r="H9" s="8">
        <v>16.296760710553819</v>
      </c>
      <c r="I9" s="9">
        <v>15596</v>
      </c>
      <c r="J9" s="22">
        <v>6</v>
      </c>
      <c r="K9" s="11">
        <v>0</v>
      </c>
      <c r="L9" s="12">
        <f t="shared" si="2"/>
        <v>-0.89228999063280057</v>
      </c>
      <c r="M9" s="7">
        <f t="shared" si="3"/>
        <v>-5.1910370511106976</v>
      </c>
    </row>
    <row r="10" spans="1:14" x14ac:dyDescent="0.25">
      <c r="A10" s="2">
        <v>6</v>
      </c>
      <c r="B10" s="38" t="s">
        <v>89</v>
      </c>
      <c r="C10" s="4">
        <v>934</v>
      </c>
      <c r="D10" s="25">
        <v>9</v>
      </c>
      <c r="E10" s="6">
        <v>0</v>
      </c>
      <c r="F10" s="7">
        <f t="shared" si="0"/>
        <v>-36</v>
      </c>
      <c r="G10" s="7">
        <f t="shared" si="1"/>
        <v>-3.7113402061855671</v>
      </c>
      <c r="H10" s="8">
        <v>16.641928494041171</v>
      </c>
      <c r="I10" s="9">
        <v>15360.5</v>
      </c>
      <c r="J10" s="24">
        <v>7</v>
      </c>
      <c r="K10" s="11">
        <v>0</v>
      </c>
      <c r="L10" s="12">
        <f t="shared" si="2"/>
        <v>0.34516778348735144</v>
      </c>
      <c r="M10" s="7">
        <f t="shared" si="3"/>
        <v>2.1180146755411338</v>
      </c>
    </row>
    <row r="11" spans="1:14" x14ac:dyDescent="0.25">
      <c r="A11" s="2">
        <v>7</v>
      </c>
      <c r="B11" s="38" t="s">
        <v>87</v>
      </c>
      <c r="C11" s="4">
        <v>950</v>
      </c>
      <c r="D11" s="21">
        <v>7</v>
      </c>
      <c r="E11" s="6">
        <v>0</v>
      </c>
      <c r="F11" s="7">
        <f t="shared" si="0"/>
        <v>16</v>
      </c>
      <c r="G11" s="7">
        <f t="shared" si="1"/>
        <v>1.7130620985010707</v>
      </c>
      <c r="H11" s="8">
        <v>16.25292553191489</v>
      </c>
      <c r="I11" s="9">
        <v>15277.75</v>
      </c>
      <c r="J11" s="26">
        <v>8</v>
      </c>
      <c r="K11" s="11">
        <v>0</v>
      </c>
      <c r="L11" s="12">
        <f t="shared" si="2"/>
        <v>-0.38900296212628049</v>
      </c>
      <c r="M11" s="7">
        <f t="shared" si="3"/>
        <v>-2.3374872825920829</v>
      </c>
    </row>
    <row r="12" spans="1:14" x14ac:dyDescent="0.25">
      <c r="A12" s="2">
        <v>8</v>
      </c>
      <c r="B12" s="38" t="s">
        <v>81</v>
      </c>
      <c r="C12" s="4">
        <v>997</v>
      </c>
      <c r="D12" s="19">
        <v>1</v>
      </c>
      <c r="E12" s="6">
        <v>0</v>
      </c>
      <c r="F12" s="7">
        <f t="shared" si="0"/>
        <v>47</v>
      </c>
      <c r="G12" s="7">
        <f t="shared" si="1"/>
        <v>4.9473684210526319</v>
      </c>
      <c r="H12" s="8">
        <v>14.13956433637285</v>
      </c>
      <c r="I12" s="9">
        <v>13955.75</v>
      </c>
      <c r="J12" s="28">
        <v>9</v>
      </c>
      <c r="K12" s="11">
        <v>0</v>
      </c>
      <c r="L12" s="12">
        <f t="shared" si="2"/>
        <v>-2.1133611955420406</v>
      </c>
      <c r="M12" s="7">
        <f t="shared" si="3"/>
        <v>-13.002958706678132</v>
      </c>
    </row>
    <row r="13" spans="1:14" ht="18.75" x14ac:dyDescent="0.3">
      <c r="A13" s="2">
        <v>9</v>
      </c>
      <c r="B13" s="38" t="s">
        <v>90</v>
      </c>
      <c r="C13" s="29">
        <f>SUBTOTAL(9,C4:C12)</f>
        <v>8690</v>
      </c>
      <c r="D13" s="30">
        <v>10</v>
      </c>
      <c r="E13" s="31">
        <f>SUBTOTAL(9,E4:E12)</f>
        <v>0</v>
      </c>
      <c r="F13" s="32">
        <f>SUBTOTAL(9,F4:F12)</f>
        <v>10</v>
      </c>
      <c r="G13" s="32">
        <f>SUBTOTAL(9,G4:G12)</f>
        <v>1.4151761456776835</v>
      </c>
      <c r="H13" s="33">
        <f>SUBTOTAL(9,H4:H12)</f>
        <v>148.73872848816978</v>
      </c>
      <c r="I13" s="34">
        <f>SUBTOTAL(9,I4:I12)</f>
        <v>142171.25</v>
      </c>
      <c r="J13" s="35">
        <v>10</v>
      </c>
      <c r="K13" s="31">
        <f>SUBTOTAL(9,K4:K12)</f>
        <v>0</v>
      </c>
      <c r="L13" s="36">
        <f>SUBTOTAL(9,L4:L12)</f>
        <v>-3.1055887248516392</v>
      </c>
      <c r="M13" s="32">
        <f>SUBTOTAL(9,M4:M12)</f>
        <v>-18.530909304665776</v>
      </c>
    </row>
  </sheetData>
  <autoFilter ref="A3:M12" xr:uid="{00000000-0009-0000-0000-00000A000000}"/>
  <mergeCells count="1">
    <mergeCell ref="A1:N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93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69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8" t="s">
        <v>81</v>
      </c>
      <c r="C4" s="4">
        <v>997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14.13956433637285</v>
      </c>
      <c r="I4" s="9">
        <v>13955.75</v>
      </c>
      <c r="J4" s="28">
        <v>9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38" t="s">
        <v>82</v>
      </c>
      <c r="C5" s="4">
        <v>987</v>
      </c>
      <c r="D5" s="5">
        <v>2</v>
      </c>
      <c r="E5" s="6">
        <v>0</v>
      </c>
      <c r="F5" s="7">
        <f t="shared" si="0"/>
        <v>-10</v>
      </c>
      <c r="G5" s="7">
        <f t="shared" si="1"/>
        <v>-1.0030090270812437</v>
      </c>
      <c r="H5" s="8">
        <v>17.245153061224489</v>
      </c>
      <c r="I5" s="9">
        <v>16900.25</v>
      </c>
      <c r="J5" s="10">
        <v>1</v>
      </c>
      <c r="K5" s="11">
        <v>0</v>
      </c>
      <c r="L5" s="12">
        <f t="shared" si="2"/>
        <v>3.1055887248516392</v>
      </c>
      <c r="M5" s="7">
        <f t="shared" si="3"/>
        <v>21.9638218757757</v>
      </c>
    </row>
    <row r="6" spans="1:14" ht="30" x14ac:dyDescent="0.25">
      <c r="A6" s="2">
        <v>2</v>
      </c>
      <c r="B6" s="38" t="s">
        <v>83</v>
      </c>
      <c r="C6" s="4">
        <v>981</v>
      </c>
      <c r="D6" s="13">
        <v>3</v>
      </c>
      <c r="E6" s="6">
        <v>0</v>
      </c>
      <c r="F6" s="7">
        <f t="shared" si="0"/>
        <v>-6</v>
      </c>
      <c r="G6" s="7">
        <f t="shared" si="1"/>
        <v>-0.60790273556231</v>
      </c>
      <c r="H6" s="8">
        <v>16.43</v>
      </c>
      <c r="I6" s="9">
        <v>16019.25</v>
      </c>
      <c r="J6" s="18">
        <v>4</v>
      </c>
      <c r="K6" s="11">
        <v>0</v>
      </c>
      <c r="L6" s="12">
        <f t="shared" si="2"/>
        <v>-0.81515306122448905</v>
      </c>
      <c r="M6" s="7">
        <f t="shared" si="3"/>
        <v>-4.7268531530598619</v>
      </c>
    </row>
    <row r="7" spans="1:14" x14ac:dyDescent="0.25">
      <c r="A7" s="2">
        <v>3</v>
      </c>
      <c r="B7" s="38" t="s">
        <v>84</v>
      </c>
      <c r="C7" s="4">
        <v>973</v>
      </c>
      <c r="D7" s="15">
        <v>4</v>
      </c>
      <c r="E7" s="6">
        <v>0</v>
      </c>
      <c r="F7" s="7">
        <f t="shared" si="0"/>
        <v>-8</v>
      </c>
      <c r="G7" s="7">
        <f t="shared" si="1"/>
        <v>-0.81549439347604491</v>
      </c>
      <c r="H7" s="8">
        <v>17.379552549427679</v>
      </c>
      <c r="I7" s="9">
        <v>16701.75</v>
      </c>
      <c r="J7" s="14">
        <v>2</v>
      </c>
      <c r="K7" s="11">
        <v>0</v>
      </c>
      <c r="L7" s="12">
        <f t="shared" si="2"/>
        <v>0.94955254942767908</v>
      </c>
      <c r="M7" s="7">
        <f t="shared" si="3"/>
        <v>5.7793825284703537</v>
      </c>
    </row>
    <row r="8" spans="1:14" x14ac:dyDescent="0.25">
      <c r="A8" s="2">
        <v>4</v>
      </c>
      <c r="B8" s="38" t="s">
        <v>85</v>
      </c>
      <c r="C8" s="4">
        <v>970</v>
      </c>
      <c r="D8" s="27">
        <v>5</v>
      </c>
      <c r="E8" s="6">
        <v>0</v>
      </c>
      <c r="F8" s="7">
        <f t="shared" si="0"/>
        <v>-3</v>
      </c>
      <c r="G8" s="7">
        <f t="shared" si="1"/>
        <v>-0.3083247687564234</v>
      </c>
      <c r="H8" s="8">
        <v>16.296760710553819</v>
      </c>
      <c r="I8" s="9">
        <v>15596</v>
      </c>
      <c r="J8" s="22">
        <v>6</v>
      </c>
      <c r="K8" s="11">
        <v>0</v>
      </c>
      <c r="L8" s="12">
        <f t="shared" si="2"/>
        <v>-1.0827918388738595</v>
      </c>
      <c r="M8" s="7">
        <f t="shared" si="3"/>
        <v>-6.2302630392490554</v>
      </c>
    </row>
    <row r="9" spans="1:14" x14ac:dyDescent="0.25">
      <c r="A9" s="2">
        <v>5</v>
      </c>
      <c r="B9" s="38" t="s">
        <v>86</v>
      </c>
      <c r="C9" s="4">
        <v>961</v>
      </c>
      <c r="D9" s="17">
        <v>6</v>
      </c>
      <c r="E9" s="6">
        <v>0</v>
      </c>
      <c r="F9" s="7">
        <f t="shared" si="0"/>
        <v>-9</v>
      </c>
      <c r="G9" s="7">
        <f t="shared" si="1"/>
        <v>-0.92783505154639179</v>
      </c>
      <c r="H9" s="8">
        <v>17.163793103448281</v>
      </c>
      <c r="I9" s="9">
        <v>16425.75</v>
      </c>
      <c r="J9" s="16">
        <v>3</v>
      </c>
      <c r="K9" s="11">
        <v>0</v>
      </c>
      <c r="L9" s="12">
        <f t="shared" si="2"/>
        <v>0.86703239289446188</v>
      </c>
      <c r="M9" s="7">
        <f t="shared" si="3"/>
        <v>5.3202744293408548</v>
      </c>
    </row>
    <row r="10" spans="1:14" x14ac:dyDescent="0.25">
      <c r="A10" s="2">
        <v>6</v>
      </c>
      <c r="B10" s="38" t="s">
        <v>87</v>
      </c>
      <c r="C10" s="4">
        <v>950</v>
      </c>
      <c r="D10" s="21">
        <v>7</v>
      </c>
      <c r="E10" s="6">
        <v>0</v>
      </c>
      <c r="F10" s="7">
        <f t="shared" si="0"/>
        <v>-11</v>
      </c>
      <c r="G10" s="7">
        <f t="shared" si="1"/>
        <v>-1.1446409989594173</v>
      </c>
      <c r="H10" s="8">
        <v>16.25292553191489</v>
      </c>
      <c r="I10" s="9">
        <v>15277.75</v>
      </c>
      <c r="J10" s="26">
        <v>8</v>
      </c>
      <c r="K10" s="11">
        <v>0</v>
      </c>
      <c r="L10" s="12">
        <f t="shared" si="2"/>
        <v>-0.91086757153339093</v>
      </c>
      <c r="M10" s="7">
        <f t="shared" si="3"/>
        <v>-5.3069130234994137</v>
      </c>
    </row>
    <row r="11" spans="1:14" x14ac:dyDescent="0.25">
      <c r="A11" s="2">
        <v>7</v>
      </c>
      <c r="B11" s="38" t="s">
        <v>88</v>
      </c>
      <c r="C11" s="4">
        <v>937</v>
      </c>
      <c r="D11" s="23">
        <v>8</v>
      </c>
      <c r="E11" s="6">
        <v>0</v>
      </c>
      <c r="F11" s="7">
        <f t="shared" si="0"/>
        <v>-13</v>
      </c>
      <c r="G11" s="7">
        <f t="shared" si="1"/>
        <v>-1.368421052631579</v>
      </c>
      <c r="H11" s="8">
        <v>17.18905070118662</v>
      </c>
      <c r="I11" s="9">
        <v>15934.25</v>
      </c>
      <c r="J11" s="20">
        <v>5</v>
      </c>
      <c r="K11" s="11">
        <v>0</v>
      </c>
      <c r="L11" s="12">
        <f t="shared" si="2"/>
        <v>0.93612516927172962</v>
      </c>
      <c r="M11" s="7">
        <f t="shared" si="3"/>
        <v>5.7597333319070287</v>
      </c>
    </row>
    <row r="12" spans="1:14" x14ac:dyDescent="0.25">
      <c r="A12" s="2">
        <v>8</v>
      </c>
      <c r="B12" s="38" t="s">
        <v>89</v>
      </c>
      <c r="C12" s="4">
        <v>934</v>
      </c>
      <c r="D12" s="25">
        <v>9</v>
      </c>
      <c r="E12" s="6">
        <v>0</v>
      </c>
      <c r="F12" s="7">
        <f t="shared" si="0"/>
        <v>-3</v>
      </c>
      <c r="G12" s="7">
        <f t="shared" si="1"/>
        <v>-0.32017075773745995</v>
      </c>
      <c r="H12" s="8">
        <v>16.641928494041171</v>
      </c>
      <c r="I12" s="9">
        <v>15360.5</v>
      </c>
      <c r="J12" s="24">
        <v>7</v>
      </c>
      <c r="K12" s="11">
        <v>0</v>
      </c>
      <c r="L12" s="12">
        <f t="shared" si="2"/>
        <v>-0.54712220714544912</v>
      </c>
      <c r="M12" s="7">
        <f t="shared" si="3"/>
        <v>-3.1829693021248664</v>
      </c>
    </row>
    <row r="13" spans="1:14" ht="18.75" x14ac:dyDescent="0.3">
      <c r="A13" s="2">
        <v>9</v>
      </c>
      <c r="B13" s="38" t="s">
        <v>90</v>
      </c>
      <c r="C13" s="29">
        <f>SUBTOTAL(9,C4:C12)</f>
        <v>8690</v>
      </c>
      <c r="D13" s="30">
        <v>10</v>
      </c>
      <c r="E13" s="31">
        <f>SUBTOTAL(9,E4:E12)</f>
        <v>0</v>
      </c>
      <c r="F13" s="32">
        <f>SUBTOTAL(9,F4:F12)</f>
        <v>-63</v>
      </c>
      <c r="G13" s="32">
        <f>SUBTOTAL(9,G4:G12)</f>
        <v>-6.4957987857508694</v>
      </c>
      <c r="H13" s="33">
        <f>SUBTOTAL(9,H4:H12)</f>
        <v>148.73872848816981</v>
      </c>
      <c r="I13" s="34">
        <f>SUBTOTAL(9,I4:I12)</f>
        <v>142171.25</v>
      </c>
      <c r="J13" s="35">
        <v>10</v>
      </c>
      <c r="K13" s="31">
        <f>SUBTOTAL(9,K4:K12)</f>
        <v>0</v>
      </c>
      <c r="L13" s="36">
        <f>SUBTOTAL(9,L4:L12)</f>
        <v>2.5023641576683211</v>
      </c>
      <c r="M13" s="32">
        <f>SUBTOTAL(9,M4:M12)</f>
        <v>19.376213647560739</v>
      </c>
    </row>
  </sheetData>
  <autoFilter ref="A3:M12" xr:uid="{00000000-0009-0000-0000-00000B000000}"/>
  <mergeCells count="1">
    <mergeCell ref="A1:N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1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99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94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9" t="s">
        <v>95</v>
      </c>
      <c r="C4" s="4">
        <v>14888</v>
      </c>
      <c r="D4" s="19">
        <v>1</v>
      </c>
      <c r="E4" s="6">
        <v>0</v>
      </c>
      <c r="F4" s="7" t="str">
        <f>IF(ROW()=4,"",C4-C3)</f>
        <v/>
      </c>
      <c r="G4" s="7" t="str">
        <f>IF(ROW()=4,"",(C4-C3)/C3*100)</f>
        <v/>
      </c>
      <c r="H4" s="8">
        <v>15.093840455449619</v>
      </c>
      <c r="I4" s="9">
        <v>220053.1</v>
      </c>
      <c r="J4" s="10">
        <v>1</v>
      </c>
      <c r="K4" s="11">
        <v>0</v>
      </c>
      <c r="L4" s="12" t="str">
        <f>IF(ROW()=4,"",H4-H3)</f>
        <v/>
      </c>
      <c r="M4" s="7" t="str">
        <f>IF(ROW()=4,"",(H4-H3)/H3*100)</f>
        <v/>
      </c>
    </row>
    <row r="5" spans="1:14" x14ac:dyDescent="0.25">
      <c r="A5" s="2">
        <v>1</v>
      </c>
      <c r="B5" s="39" t="s">
        <v>96</v>
      </c>
      <c r="C5" s="4">
        <v>11987</v>
      </c>
      <c r="D5" s="15">
        <v>2</v>
      </c>
      <c r="E5" s="6">
        <v>0</v>
      </c>
      <c r="F5" s="7">
        <f>IF(ROW()=4,"",C5-C4)</f>
        <v>-2901</v>
      </c>
      <c r="G5" s="7">
        <f>IF(ROW()=4,"",(C5-C4)/C4*100)</f>
        <v>-19.485491671144544</v>
      </c>
      <c r="H5" s="8">
        <v>17.67827120658912</v>
      </c>
      <c r="I5" s="9">
        <v>208197</v>
      </c>
      <c r="J5" s="18">
        <v>2</v>
      </c>
      <c r="K5" s="11">
        <v>0</v>
      </c>
      <c r="L5" s="12">
        <f>IF(ROW()=4,"",H5-H4)</f>
        <v>2.5844307511395002</v>
      </c>
      <c r="M5" s="7">
        <f>IF(ROW()=4,"",(H5-H4)/H4*100)</f>
        <v>17.122419961755945</v>
      </c>
    </row>
    <row r="6" spans="1:14" x14ac:dyDescent="0.25">
      <c r="A6" s="2">
        <v>2</v>
      </c>
      <c r="B6" s="39" t="s">
        <v>97</v>
      </c>
      <c r="C6" s="4">
        <v>11050</v>
      </c>
      <c r="D6" s="30">
        <v>4</v>
      </c>
      <c r="E6" s="6">
        <v>0</v>
      </c>
      <c r="F6" s="7">
        <f>IF(ROW()=4,"",C6-C5)</f>
        <v>-937</v>
      </c>
      <c r="G6" s="7">
        <f>IF(ROW()=4,"",(C6-C5)/C5*100)</f>
        <v>-7.8168015349962454</v>
      </c>
      <c r="H6" s="8">
        <v>18.115533980582519</v>
      </c>
      <c r="I6" s="9">
        <v>195919.5</v>
      </c>
      <c r="J6" s="24">
        <v>3</v>
      </c>
      <c r="K6" s="11">
        <v>0</v>
      </c>
      <c r="L6" s="12">
        <f>IF(ROW()=4,"",H6-H5)</f>
        <v>0.43726277399339963</v>
      </c>
      <c r="M6" s="7">
        <f>IF(ROW()=4,"",(H6-H5)/H5*100)</f>
        <v>2.4734475949798824</v>
      </c>
    </row>
    <row r="7" spans="1:14" ht="18.75" x14ac:dyDescent="0.3">
      <c r="A7" s="2">
        <v>3</v>
      </c>
      <c r="B7" s="39" t="s">
        <v>98</v>
      </c>
      <c r="C7" s="29">
        <f>SUBTOTAL(9,C4:C6)</f>
        <v>37925</v>
      </c>
      <c r="D7" s="21">
        <v>3</v>
      </c>
      <c r="E7" s="31">
        <f>SUBTOTAL(9,E4:E6)</f>
        <v>0</v>
      </c>
      <c r="F7" s="32">
        <f>SUBTOTAL(9,F4:F6)</f>
        <v>-3838</v>
      </c>
      <c r="G7" s="32">
        <f>SUBTOTAL(9,G4:G6)</f>
        <v>-27.302293206140789</v>
      </c>
      <c r="H7" s="33">
        <f>SUBTOTAL(9,H4:H6)</f>
        <v>50.887645642621258</v>
      </c>
      <c r="I7" s="34">
        <f>SUBTOTAL(9,I4:I6)</f>
        <v>624169.6</v>
      </c>
      <c r="J7" s="35">
        <v>4</v>
      </c>
      <c r="K7" s="31">
        <f>SUBTOTAL(9,K4:K6)</f>
        <v>0</v>
      </c>
      <c r="L7" s="36">
        <f>SUBTOTAL(9,L4:L6)</f>
        <v>3.0216935251328998</v>
      </c>
      <c r="M7" s="32">
        <f>SUBTOTAL(9,M4:M6)</f>
        <v>19.595867556735826</v>
      </c>
    </row>
  </sheetData>
  <autoFilter ref="A3:M6" xr:uid="{00000000-0009-0000-0000-00000C000000}"/>
  <mergeCells count="1">
    <mergeCell ref="A1:N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106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100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0" t="s">
        <v>101</v>
      </c>
      <c r="C4" s="4">
        <v>18956</v>
      </c>
      <c r="D4" s="19">
        <v>1</v>
      </c>
      <c r="E4" s="6">
        <v>0</v>
      </c>
      <c r="F4" s="7" t="str">
        <f>IF(ROW()=4,"",C4-C3)</f>
        <v/>
      </c>
      <c r="G4" s="7" t="str">
        <f>IF(ROW()=4,"",(C4-C3)/C3*100)</f>
        <v/>
      </c>
      <c r="H4" s="8">
        <v>20.25902515383785</v>
      </c>
      <c r="I4" s="9">
        <v>375318.7</v>
      </c>
      <c r="J4" s="10">
        <v>1</v>
      </c>
      <c r="K4" s="11">
        <v>0</v>
      </c>
      <c r="L4" s="12" t="str">
        <f>IF(ROW()=4,"",H4-H3)</f>
        <v/>
      </c>
      <c r="M4" s="7" t="str">
        <f>IF(ROW()=4,"",(H4-H3)/H3*100)</f>
        <v/>
      </c>
    </row>
    <row r="5" spans="1:14" x14ac:dyDescent="0.25">
      <c r="A5" s="2">
        <v>1</v>
      </c>
      <c r="B5" s="40" t="s">
        <v>102</v>
      </c>
      <c r="C5" s="4">
        <v>15635</v>
      </c>
      <c r="D5" s="41">
        <v>2</v>
      </c>
      <c r="E5" s="6">
        <v>0</v>
      </c>
      <c r="F5" s="7">
        <f>IF(ROW()=4,"",C5-C4)</f>
        <v>-3321</v>
      </c>
      <c r="G5" s="7">
        <f>IF(ROW()=4,"",(C5-C4)/C4*100)</f>
        <v>-17.519518885840895</v>
      </c>
      <c r="H5" s="8">
        <v>16.209441013974651</v>
      </c>
      <c r="I5" s="9">
        <v>249382.25</v>
      </c>
      <c r="J5" s="42">
        <v>2</v>
      </c>
      <c r="K5" s="11">
        <v>0</v>
      </c>
      <c r="L5" s="12">
        <f>IF(ROW()=4,"",H5-H4)</f>
        <v>-4.0495841398631995</v>
      </c>
      <c r="M5" s="7">
        <f>IF(ROW()=4,"",(H5-H4)/H4*100)</f>
        <v>-19.989037523338336</v>
      </c>
    </row>
    <row r="6" spans="1:14" x14ac:dyDescent="0.25">
      <c r="A6" s="2">
        <v>2</v>
      </c>
      <c r="B6" s="40" t="s">
        <v>103</v>
      </c>
      <c r="C6" s="4">
        <v>14403</v>
      </c>
      <c r="D6" s="43">
        <v>3</v>
      </c>
      <c r="E6" s="6">
        <v>0</v>
      </c>
      <c r="F6" s="7">
        <f>IF(ROW()=4,"",C6-C5)</f>
        <v>-1232</v>
      </c>
      <c r="G6" s="7">
        <f>IF(ROW()=4,"",(C6-C5)/C5*100)</f>
        <v>-7.8797569555484488</v>
      </c>
      <c r="H6" s="8">
        <v>12.59648440263139</v>
      </c>
      <c r="I6" s="9">
        <v>178076.5</v>
      </c>
      <c r="J6" s="44">
        <v>3</v>
      </c>
      <c r="K6" s="11">
        <v>0</v>
      </c>
      <c r="L6" s="12">
        <f>IF(ROW()=4,"",H6-H5)</f>
        <v>-3.612956611343261</v>
      </c>
      <c r="M6" s="7">
        <f>IF(ROW()=4,"",(H6-H5)/H5*100)</f>
        <v>-22.289211628139562</v>
      </c>
    </row>
    <row r="7" spans="1:14" x14ac:dyDescent="0.25">
      <c r="A7" s="2">
        <v>3</v>
      </c>
      <c r="B7" s="40" t="s">
        <v>104</v>
      </c>
      <c r="C7" s="4">
        <v>552</v>
      </c>
      <c r="D7" s="45">
        <v>4</v>
      </c>
      <c r="E7" s="6">
        <v>0</v>
      </c>
      <c r="F7" s="7">
        <f>IF(ROW()=4,"",C7-C6)</f>
        <v>-13851</v>
      </c>
      <c r="G7" s="7">
        <f>IF(ROW()=4,"",(C7-C6)/C6*100)</f>
        <v>-96.167465111435106</v>
      </c>
      <c r="H7" s="8">
        <v>25.875</v>
      </c>
      <c r="I7" s="9">
        <v>14076</v>
      </c>
      <c r="J7" s="46">
        <v>4</v>
      </c>
      <c r="K7" s="11">
        <v>0</v>
      </c>
      <c r="L7" s="12">
        <f>IF(ROW()=4,"",H7-H6)</f>
        <v>13.27851559736861</v>
      </c>
      <c r="M7" s="7">
        <f>IF(ROW()=4,"",(H7-H6)/H6*100)</f>
        <v>105.41445670821253</v>
      </c>
    </row>
    <row r="8" spans="1:14" ht="18.75" x14ac:dyDescent="0.3">
      <c r="A8" s="2">
        <v>4</v>
      </c>
      <c r="B8" s="40" t="s">
        <v>105</v>
      </c>
      <c r="C8" s="29">
        <f>SUBTOTAL(9,C4:C7)</f>
        <v>49546</v>
      </c>
      <c r="D8" s="30">
        <v>5</v>
      </c>
      <c r="E8" s="31">
        <f>SUBTOTAL(9,E4:E7)</f>
        <v>0</v>
      </c>
      <c r="F8" s="32">
        <f>SUBTOTAL(9,F4:F7)</f>
        <v>-18404</v>
      </c>
      <c r="G8" s="32">
        <f>SUBTOTAL(9,G4:G7)</f>
        <v>-121.56674095282445</v>
      </c>
      <c r="H8" s="33">
        <f>SUBTOTAL(9,H4:H7)</f>
        <v>74.939950570443898</v>
      </c>
      <c r="I8" s="34">
        <f>SUBTOTAL(9,I4:I7)</f>
        <v>816853.45</v>
      </c>
      <c r="J8" s="35">
        <v>5</v>
      </c>
      <c r="K8" s="31">
        <f>SUBTOTAL(9,K4:K7)</f>
        <v>0</v>
      </c>
      <c r="L8" s="36">
        <f>SUBTOTAL(9,L4:L7)</f>
        <v>5.6159748461621497</v>
      </c>
      <c r="M8" s="32">
        <f>SUBTOTAL(9,M4:M7)</f>
        <v>63.136207556734632</v>
      </c>
    </row>
  </sheetData>
  <autoFilter ref="A3:M7" xr:uid="{00000000-0009-0000-0000-00000D000000}"/>
  <mergeCells count="1">
    <mergeCell ref="A1:N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108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107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7">
        <v>42335</v>
      </c>
      <c r="C4" s="4">
        <v>264</v>
      </c>
      <c r="D4" s="5">
        <v>2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17.07509652509653</v>
      </c>
      <c r="I4" s="9">
        <v>4422.45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47">
        <v>42334</v>
      </c>
      <c r="C5" s="4">
        <v>266</v>
      </c>
      <c r="D5" s="19">
        <v>1</v>
      </c>
      <c r="E5" s="6">
        <v>0</v>
      </c>
      <c r="F5" s="7">
        <f t="shared" si="0"/>
        <v>2</v>
      </c>
      <c r="G5" s="7">
        <f t="shared" si="1"/>
        <v>0.75757575757575757</v>
      </c>
      <c r="H5" s="8">
        <v>16.881034482758619</v>
      </c>
      <c r="I5" s="9">
        <v>4405.95</v>
      </c>
      <c r="J5" s="14">
        <v>2</v>
      </c>
      <c r="K5" s="11">
        <v>0</v>
      </c>
      <c r="L5" s="12">
        <f t="shared" si="2"/>
        <v>-0.19406204233791158</v>
      </c>
      <c r="M5" s="7">
        <f t="shared" si="3"/>
        <v>-1.1365209095754409</v>
      </c>
    </row>
    <row r="6" spans="1:14" x14ac:dyDescent="0.25">
      <c r="A6" s="2">
        <v>2</v>
      </c>
      <c r="B6" s="47">
        <v>42292</v>
      </c>
      <c r="C6" s="4">
        <v>262</v>
      </c>
      <c r="D6" s="13">
        <v>3</v>
      </c>
      <c r="E6" s="6">
        <v>0</v>
      </c>
      <c r="F6" s="7">
        <f t="shared" si="0"/>
        <v>-4</v>
      </c>
      <c r="G6" s="7">
        <f t="shared" si="1"/>
        <v>-1.5037593984962405</v>
      </c>
      <c r="H6" s="8">
        <v>16.744961240310079</v>
      </c>
      <c r="I6" s="9">
        <v>4320.2</v>
      </c>
      <c r="J6" s="16">
        <v>3</v>
      </c>
      <c r="K6" s="11">
        <v>0</v>
      </c>
      <c r="L6" s="12">
        <f t="shared" si="2"/>
        <v>-0.13607324244853913</v>
      </c>
      <c r="M6" s="7">
        <f t="shared" si="3"/>
        <v>-0.80607170483252699</v>
      </c>
    </row>
    <row r="7" spans="1:14" x14ac:dyDescent="0.25">
      <c r="A7" s="2">
        <v>3</v>
      </c>
      <c r="B7" s="47">
        <v>42189</v>
      </c>
      <c r="C7" s="4">
        <v>234</v>
      </c>
      <c r="D7" s="15">
        <v>4</v>
      </c>
      <c r="E7" s="6">
        <v>0</v>
      </c>
      <c r="F7" s="7">
        <f t="shared" si="0"/>
        <v>-28</v>
      </c>
      <c r="G7" s="7">
        <f t="shared" si="1"/>
        <v>-10.687022900763358</v>
      </c>
      <c r="H7" s="8">
        <v>16.584549356223171</v>
      </c>
      <c r="I7" s="9">
        <v>3864.2</v>
      </c>
      <c r="J7" s="18">
        <v>4</v>
      </c>
      <c r="K7" s="11">
        <v>0</v>
      </c>
      <c r="L7" s="12">
        <f t="shared" si="2"/>
        <v>-0.16041188408690843</v>
      </c>
      <c r="M7" s="7">
        <f t="shared" si="3"/>
        <v>-0.9579710683399465</v>
      </c>
    </row>
    <row r="8" spans="1:14" x14ac:dyDescent="0.25">
      <c r="A8" s="2">
        <v>4</v>
      </c>
      <c r="B8" s="47">
        <v>42188</v>
      </c>
      <c r="C8" s="4">
        <v>213</v>
      </c>
      <c r="D8" s="27">
        <v>5</v>
      </c>
      <c r="E8" s="6">
        <v>0</v>
      </c>
      <c r="F8" s="7">
        <f t="shared" si="0"/>
        <v>-21</v>
      </c>
      <c r="G8" s="7">
        <f t="shared" si="1"/>
        <v>-8.9743589743589745</v>
      </c>
      <c r="H8" s="8">
        <v>16.632850241545889</v>
      </c>
      <c r="I8" s="9">
        <v>3443</v>
      </c>
      <c r="J8" s="20">
        <v>5</v>
      </c>
      <c r="K8" s="11">
        <v>0</v>
      </c>
      <c r="L8" s="12">
        <f t="shared" si="2"/>
        <v>4.830088532271759E-2</v>
      </c>
      <c r="M8" s="7">
        <f t="shared" si="3"/>
        <v>0.2912402639664925</v>
      </c>
    </row>
    <row r="9" spans="1:14" x14ac:dyDescent="0.25">
      <c r="A9" s="2">
        <v>5</v>
      </c>
      <c r="B9" s="47">
        <v>42139</v>
      </c>
      <c r="C9" s="4">
        <v>208</v>
      </c>
      <c r="D9" s="17">
        <v>6</v>
      </c>
      <c r="E9" s="6">
        <v>0</v>
      </c>
      <c r="F9" s="7">
        <f t="shared" si="0"/>
        <v>-5</v>
      </c>
      <c r="G9" s="7">
        <f t="shared" si="1"/>
        <v>-2.3474178403755865</v>
      </c>
      <c r="H9" s="8">
        <v>16.517804878048779</v>
      </c>
      <c r="I9" s="9">
        <v>3386.15</v>
      </c>
      <c r="J9" s="22">
        <v>6</v>
      </c>
      <c r="K9" s="11">
        <v>0</v>
      </c>
      <c r="L9" s="12">
        <f t="shared" si="2"/>
        <v>-0.11504536349711003</v>
      </c>
      <c r="M9" s="7">
        <f t="shared" si="3"/>
        <v>-0.69167558071164048</v>
      </c>
    </row>
    <row r="10" spans="1:14" x14ac:dyDescent="0.25">
      <c r="A10" s="2">
        <v>6</v>
      </c>
      <c r="B10" s="47">
        <v>42209</v>
      </c>
      <c r="C10" s="4">
        <v>196</v>
      </c>
      <c r="D10" s="21">
        <v>7</v>
      </c>
      <c r="E10" s="6">
        <v>0</v>
      </c>
      <c r="F10" s="7">
        <f t="shared" si="0"/>
        <v>-12</v>
      </c>
      <c r="G10" s="7">
        <f t="shared" si="1"/>
        <v>-5.7692307692307692</v>
      </c>
      <c r="H10" s="8">
        <v>17.044680851063831</v>
      </c>
      <c r="I10" s="9">
        <v>3204.4</v>
      </c>
      <c r="J10" s="24">
        <v>7</v>
      </c>
      <c r="K10" s="11">
        <v>0</v>
      </c>
      <c r="L10" s="12">
        <f t="shared" si="2"/>
        <v>0.52687597301505207</v>
      </c>
      <c r="M10" s="7">
        <f t="shared" si="3"/>
        <v>3.1897457132166527</v>
      </c>
    </row>
    <row r="11" spans="1:14" x14ac:dyDescent="0.25">
      <c r="A11" s="2">
        <v>7</v>
      </c>
      <c r="B11" s="47">
        <v>42278</v>
      </c>
      <c r="C11" s="4">
        <v>194</v>
      </c>
      <c r="D11" s="23">
        <v>8</v>
      </c>
      <c r="E11" s="6">
        <v>0</v>
      </c>
      <c r="F11" s="7">
        <f t="shared" si="0"/>
        <v>-2</v>
      </c>
      <c r="G11" s="7">
        <f t="shared" si="1"/>
        <v>-1.0204081632653061</v>
      </c>
      <c r="H11" s="8">
        <v>16.853421052631582</v>
      </c>
      <c r="I11" s="9">
        <v>3202.15</v>
      </c>
      <c r="J11" s="26">
        <v>8</v>
      </c>
      <c r="K11" s="11">
        <v>0</v>
      </c>
      <c r="L11" s="12">
        <f t="shared" si="2"/>
        <v>-0.19125979843224883</v>
      </c>
      <c r="M11" s="7">
        <f t="shared" si="3"/>
        <v>-1.1221084167164768</v>
      </c>
    </row>
    <row r="12" spans="1:14" x14ac:dyDescent="0.25">
      <c r="A12" s="2">
        <v>8</v>
      </c>
      <c r="B12" s="47">
        <v>42036</v>
      </c>
      <c r="C12" s="4">
        <v>191</v>
      </c>
      <c r="D12" s="25">
        <v>9</v>
      </c>
      <c r="E12" s="6">
        <v>0</v>
      </c>
      <c r="F12" s="7">
        <f t="shared" si="0"/>
        <v>-3</v>
      </c>
      <c r="G12" s="7">
        <f t="shared" si="1"/>
        <v>-1.5463917525773196</v>
      </c>
      <c r="H12" s="8">
        <v>16.96382978723404</v>
      </c>
      <c r="I12" s="9">
        <v>3189.2</v>
      </c>
      <c r="J12" s="28">
        <v>9</v>
      </c>
      <c r="K12" s="11">
        <v>0</v>
      </c>
      <c r="L12" s="12">
        <f t="shared" si="2"/>
        <v>0.11040873460245848</v>
      </c>
      <c r="M12" s="7">
        <f t="shared" si="3"/>
        <v>0.65511170852293321</v>
      </c>
    </row>
    <row r="13" spans="1:14" ht="18.75" x14ac:dyDescent="0.3">
      <c r="A13" s="2">
        <v>9</v>
      </c>
      <c r="B13" s="47">
        <v>42314</v>
      </c>
      <c r="C13" s="29">
        <f>SUBTOTAL(9,C4:C12)</f>
        <v>2028</v>
      </c>
      <c r="D13" s="30">
        <v>10</v>
      </c>
      <c r="E13" s="31">
        <f>SUBTOTAL(9,E4:E12)</f>
        <v>0</v>
      </c>
      <c r="F13" s="32">
        <f>SUBTOTAL(9,F4:F12)</f>
        <v>-73</v>
      </c>
      <c r="G13" s="32">
        <f>SUBTOTAL(9,G4:G12)</f>
        <v>-31.0910140414918</v>
      </c>
      <c r="H13" s="33">
        <f>SUBTOTAL(9,H4:H12)</f>
        <v>151.2982284149125</v>
      </c>
      <c r="I13" s="34">
        <f>SUBTOTAL(9,I4:I12)</f>
        <v>33437.700000000004</v>
      </c>
      <c r="J13" s="35">
        <v>10</v>
      </c>
      <c r="K13" s="31">
        <f>SUBTOTAL(9,K4:K12)</f>
        <v>0</v>
      </c>
      <c r="L13" s="36">
        <f>SUBTOTAL(9,L4:L12)</f>
        <v>-0.11126673786248986</v>
      </c>
      <c r="M13" s="32">
        <f>SUBTOTAL(9,M4:M12)</f>
        <v>-0.57824999446995329</v>
      </c>
    </row>
  </sheetData>
  <autoFilter ref="A3:M12" xr:uid="{00000000-0009-0000-0000-00000E000000}"/>
  <mergeCells count="1">
    <mergeCell ref="A1:N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108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107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7">
        <v>42036</v>
      </c>
      <c r="C4" s="4">
        <v>191</v>
      </c>
      <c r="D4" s="25">
        <v>9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16.96382978723404</v>
      </c>
      <c r="I4" s="9">
        <v>3189.2</v>
      </c>
      <c r="J4" s="28">
        <v>9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47">
        <v>42139</v>
      </c>
      <c r="C5" s="4">
        <v>208</v>
      </c>
      <c r="D5" s="17">
        <v>6</v>
      </c>
      <c r="E5" s="6">
        <v>0</v>
      </c>
      <c r="F5" s="7">
        <f t="shared" si="0"/>
        <v>17</v>
      </c>
      <c r="G5" s="7">
        <f t="shared" si="1"/>
        <v>8.9005235602094235</v>
      </c>
      <c r="H5" s="8">
        <v>16.517804878048779</v>
      </c>
      <c r="I5" s="9">
        <v>3386.15</v>
      </c>
      <c r="J5" s="22">
        <v>6</v>
      </c>
      <c r="K5" s="11">
        <v>0</v>
      </c>
      <c r="L5" s="12">
        <f t="shared" si="2"/>
        <v>-0.44602490918526172</v>
      </c>
      <c r="M5" s="7">
        <f t="shared" si="3"/>
        <v>-2.6292701281459054</v>
      </c>
    </row>
    <row r="6" spans="1:14" x14ac:dyDescent="0.25">
      <c r="A6" s="2">
        <v>2</v>
      </c>
      <c r="B6" s="47">
        <v>42188</v>
      </c>
      <c r="C6" s="4">
        <v>213</v>
      </c>
      <c r="D6" s="27">
        <v>5</v>
      </c>
      <c r="E6" s="6">
        <v>0</v>
      </c>
      <c r="F6" s="7">
        <f t="shared" si="0"/>
        <v>5</v>
      </c>
      <c r="G6" s="7">
        <f t="shared" si="1"/>
        <v>2.4038461538461542</v>
      </c>
      <c r="H6" s="8">
        <v>16.632850241545889</v>
      </c>
      <c r="I6" s="9">
        <v>3443</v>
      </c>
      <c r="J6" s="20">
        <v>5</v>
      </c>
      <c r="K6" s="11">
        <v>0</v>
      </c>
      <c r="L6" s="12">
        <f t="shared" si="2"/>
        <v>0.11504536349711003</v>
      </c>
      <c r="M6" s="7">
        <f t="shared" si="3"/>
        <v>0.69649305308115594</v>
      </c>
    </row>
    <row r="7" spans="1:14" x14ac:dyDescent="0.25">
      <c r="A7" s="2">
        <v>3</v>
      </c>
      <c r="B7" s="47">
        <v>42189</v>
      </c>
      <c r="C7" s="4">
        <v>234</v>
      </c>
      <c r="D7" s="15">
        <v>4</v>
      </c>
      <c r="E7" s="6">
        <v>0</v>
      </c>
      <c r="F7" s="7">
        <f t="shared" si="0"/>
        <v>21</v>
      </c>
      <c r="G7" s="7">
        <f t="shared" si="1"/>
        <v>9.8591549295774641</v>
      </c>
      <c r="H7" s="8">
        <v>16.584549356223171</v>
      </c>
      <c r="I7" s="9">
        <v>3864.2</v>
      </c>
      <c r="J7" s="18">
        <v>4</v>
      </c>
      <c r="K7" s="11">
        <v>0</v>
      </c>
      <c r="L7" s="12">
        <f t="shared" si="2"/>
        <v>-4.830088532271759E-2</v>
      </c>
      <c r="M7" s="7">
        <f t="shared" si="3"/>
        <v>-0.29039451820512763</v>
      </c>
    </row>
    <row r="8" spans="1:14" x14ac:dyDescent="0.25">
      <c r="A8" s="2">
        <v>4</v>
      </c>
      <c r="B8" s="47">
        <v>42209</v>
      </c>
      <c r="C8" s="4">
        <v>196</v>
      </c>
      <c r="D8" s="21">
        <v>7</v>
      </c>
      <c r="E8" s="6">
        <v>0</v>
      </c>
      <c r="F8" s="7">
        <f t="shared" si="0"/>
        <v>-38</v>
      </c>
      <c r="G8" s="7">
        <f t="shared" si="1"/>
        <v>-16.239316239316238</v>
      </c>
      <c r="H8" s="8">
        <v>17.044680851063831</v>
      </c>
      <c r="I8" s="9">
        <v>3204.4</v>
      </c>
      <c r="J8" s="24">
        <v>7</v>
      </c>
      <c r="K8" s="11">
        <v>0</v>
      </c>
      <c r="L8" s="12">
        <f t="shared" si="2"/>
        <v>0.46013149484065963</v>
      </c>
      <c r="M8" s="7">
        <f t="shared" si="3"/>
        <v>2.7744588348914063</v>
      </c>
    </row>
    <row r="9" spans="1:14" x14ac:dyDescent="0.25">
      <c r="A9" s="2">
        <v>5</v>
      </c>
      <c r="B9" s="47">
        <v>42278</v>
      </c>
      <c r="C9" s="4">
        <v>194</v>
      </c>
      <c r="D9" s="23">
        <v>8</v>
      </c>
      <c r="E9" s="6">
        <v>0</v>
      </c>
      <c r="F9" s="7">
        <f t="shared" si="0"/>
        <v>-2</v>
      </c>
      <c r="G9" s="7">
        <f t="shared" si="1"/>
        <v>-1.0204081632653061</v>
      </c>
      <c r="H9" s="8">
        <v>16.853421052631582</v>
      </c>
      <c r="I9" s="9">
        <v>3202.15</v>
      </c>
      <c r="J9" s="26">
        <v>8</v>
      </c>
      <c r="K9" s="11">
        <v>0</v>
      </c>
      <c r="L9" s="12">
        <f t="shared" si="2"/>
        <v>-0.19125979843224883</v>
      </c>
      <c r="M9" s="7">
        <f t="shared" si="3"/>
        <v>-1.1221084167164768</v>
      </c>
    </row>
    <row r="10" spans="1:14" x14ac:dyDescent="0.25">
      <c r="A10" s="2">
        <v>6</v>
      </c>
      <c r="B10" s="47">
        <v>42292</v>
      </c>
      <c r="C10" s="4">
        <v>262</v>
      </c>
      <c r="D10" s="13">
        <v>3</v>
      </c>
      <c r="E10" s="6">
        <v>0</v>
      </c>
      <c r="F10" s="7">
        <f t="shared" si="0"/>
        <v>68</v>
      </c>
      <c r="G10" s="7">
        <f t="shared" si="1"/>
        <v>35.051546391752574</v>
      </c>
      <c r="H10" s="8">
        <v>16.744961240310079</v>
      </c>
      <c r="I10" s="9">
        <v>4320.2</v>
      </c>
      <c r="J10" s="16">
        <v>3</v>
      </c>
      <c r="K10" s="11">
        <v>0</v>
      </c>
      <c r="L10" s="12">
        <f t="shared" si="2"/>
        <v>-0.10845981232150237</v>
      </c>
      <c r="M10" s="7">
        <f t="shared" si="3"/>
        <v>-0.64354775201303638</v>
      </c>
    </row>
    <row r="11" spans="1:14" x14ac:dyDescent="0.25">
      <c r="A11" s="2">
        <v>7</v>
      </c>
      <c r="B11" s="47">
        <v>42314</v>
      </c>
      <c r="C11" s="4">
        <v>190</v>
      </c>
      <c r="D11" s="30">
        <v>10</v>
      </c>
      <c r="E11" s="6">
        <v>0</v>
      </c>
      <c r="F11" s="7">
        <f t="shared" si="0"/>
        <v>-72</v>
      </c>
      <c r="G11" s="7">
        <f t="shared" si="1"/>
        <v>-27.480916030534353</v>
      </c>
      <c r="H11" s="8">
        <v>17.067567567567568</v>
      </c>
      <c r="I11" s="9">
        <v>3157.5</v>
      </c>
      <c r="J11" s="35">
        <v>10</v>
      </c>
      <c r="K11" s="11">
        <v>0</v>
      </c>
      <c r="L11" s="12">
        <f t="shared" si="2"/>
        <v>0.32260632725748906</v>
      </c>
      <c r="M11" s="7">
        <f t="shared" si="3"/>
        <v>1.9265874828117253</v>
      </c>
    </row>
    <row r="12" spans="1:14" x14ac:dyDescent="0.25">
      <c r="A12" s="2">
        <v>8</v>
      </c>
      <c r="B12" s="47">
        <v>42334</v>
      </c>
      <c r="C12" s="4">
        <v>266</v>
      </c>
      <c r="D12" s="19">
        <v>1</v>
      </c>
      <c r="E12" s="6">
        <v>0</v>
      </c>
      <c r="F12" s="7">
        <f t="shared" si="0"/>
        <v>76</v>
      </c>
      <c r="G12" s="7">
        <f t="shared" si="1"/>
        <v>40</v>
      </c>
      <c r="H12" s="8">
        <v>16.881034482758619</v>
      </c>
      <c r="I12" s="9">
        <v>4405.95</v>
      </c>
      <c r="J12" s="14">
        <v>2</v>
      </c>
      <c r="K12" s="11">
        <v>0</v>
      </c>
      <c r="L12" s="12">
        <f t="shared" si="2"/>
        <v>-0.18653308480894992</v>
      </c>
      <c r="M12" s="7">
        <f t="shared" si="3"/>
        <v>-1.0929096022060407</v>
      </c>
    </row>
    <row r="13" spans="1:14" ht="18.75" x14ac:dyDescent="0.3">
      <c r="A13" s="2">
        <v>9</v>
      </c>
      <c r="B13" s="47">
        <v>42335</v>
      </c>
      <c r="C13" s="29">
        <f>SUBTOTAL(9,C4:C12)</f>
        <v>1954</v>
      </c>
      <c r="D13" s="5">
        <v>2</v>
      </c>
      <c r="E13" s="31">
        <f>SUBTOTAL(9,E4:E12)</f>
        <v>0</v>
      </c>
      <c r="F13" s="32">
        <f>SUBTOTAL(9,F4:F12)</f>
        <v>75</v>
      </c>
      <c r="G13" s="32">
        <f>SUBTOTAL(9,G4:G12)</f>
        <v>51.47443060226972</v>
      </c>
      <c r="H13" s="33">
        <f>SUBTOTAL(9,H4:H12)</f>
        <v>151.29069945738357</v>
      </c>
      <c r="I13" s="34">
        <f>SUBTOTAL(9,I4:I12)</f>
        <v>32172.750000000004</v>
      </c>
      <c r="J13" s="10">
        <v>1</v>
      </c>
      <c r="K13" s="31">
        <f>SUBTOTAL(9,K4:K12)</f>
        <v>0</v>
      </c>
      <c r="L13" s="36">
        <f>SUBTOTAL(9,L4:L12)</f>
        <v>-8.2795304475421716E-2</v>
      </c>
      <c r="M13" s="32">
        <f>SUBTOTAL(9,M4:M12)</f>
        <v>-0.38069104650229924</v>
      </c>
    </row>
  </sheetData>
  <autoFilter ref="A3:M12" xr:uid="{00000000-0009-0000-0000-00000F000000}"/>
  <mergeCells count="1">
    <mergeCell ref="A1:N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109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107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7">
        <v>42334</v>
      </c>
      <c r="C4" s="4">
        <v>266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16.881034482758619</v>
      </c>
      <c r="I4" s="9">
        <v>4405.95</v>
      </c>
      <c r="J4" s="14">
        <v>2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47">
        <v>42335</v>
      </c>
      <c r="C5" s="4">
        <v>264</v>
      </c>
      <c r="D5" s="5">
        <v>2</v>
      </c>
      <c r="E5" s="6">
        <v>0</v>
      </c>
      <c r="F5" s="7">
        <f t="shared" si="0"/>
        <v>-2</v>
      </c>
      <c r="G5" s="7">
        <f t="shared" si="1"/>
        <v>-0.75187969924812026</v>
      </c>
      <c r="H5" s="8">
        <v>17.07509652509653</v>
      </c>
      <c r="I5" s="9">
        <v>4422.45</v>
      </c>
      <c r="J5" s="10">
        <v>1</v>
      </c>
      <c r="K5" s="11">
        <v>0</v>
      </c>
      <c r="L5" s="12">
        <f t="shared" si="2"/>
        <v>0.19406204233791158</v>
      </c>
      <c r="M5" s="7">
        <f t="shared" si="3"/>
        <v>1.149586197078835</v>
      </c>
    </row>
    <row r="6" spans="1:14" x14ac:dyDescent="0.25">
      <c r="A6" s="2">
        <v>2</v>
      </c>
      <c r="B6" s="47">
        <v>42292</v>
      </c>
      <c r="C6" s="4">
        <v>262</v>
      </c>
      <c r="D6" s="13">
        <v>3</v>
      </c>
      <c r="E6" s="6">
        <v>0</v>
      </c>
      <c r="F6" s="7">
        <f t="shared" si="0"/>
        <v>-2</v>
      </c>
      <c r="G6" s="7">
        <f t="shared" si="1"/>
        <v>-0.75757575757575757</v>
      </c>
      <c r="H6" s="8">
        <v>16.744961240310079</v>
      </c>
      <c r="I6" s="9">
        <v>4320.2</v>
      </c>
      <c r="J6" s="16">
        <v>3</v>
      </c>
      <c r="K6" s="11">
        <v>0</v>
      </c>
      <c r="L6" s="12">
        <f t="shared" si="2"/>
        <v>-0.33013528478645071</v>
      </c>
      <c r="M6" s="7">
        <f t="shared" si="3"/>
        <v>-1.9334314409363749</v>
      </c>
    </row>
    <row r="7" spans="1:14" x14ac:dyDescent="0.25">
      <c r="A7" s="2">
        <v>3</v>
      </c>
      <c r="B7" s="47">
        <v>42189</v>
      </c>
      <c r="C7" s="4">
        <v>234</v>
      </c>
      <c r="D7" s="15">
        <v>4</v>
      </c>
      <c r="E7" s="6">
        <v>0</v>
      </c>
      <c r="F7" s="7">
        <f t="shared" si="0"/>
        <v>-28</v>
      </c>
      <c r="G7" s="7">
        <f t="shared" si="1"/>
        <v>-10.687022900763358</v>
      </c>
      <c r="H7" s="8">
        <v>16.584549356223171</v>
      </c>
      <c r="I7" s="9">
        <v>3864.2</v>
      </c>
      <c r="J7" s="18">
        <v>4</v>
      </c>
      <c r="K7" s="11">
        <v>0</v>
      </c>
      <c r="L7" s="12">
        <f t="shared" si="2"/>
        <v>-0.16041188408690843</v>
      </c>
      <c r="M7" s="7">
        <f t="shared" si="3"/>
        <v>-0.9579710683399465</v>
      </c>
    </row>
    <row r="8" spans="1:14" x14ac:dyDescent="0.25">
      <c r="A8" s="2">
        <v>4</v>
      </c>
      <c r="B8" s="47">
        <v>42188</v>
      </c>
      <c r="C8" s="4">
        <v>213</v>
      </c>
      <c r="D8" s="27">
        <v>5</v>
      </c>
      <c r="E8" s="6">
        <v>0</v>
      </c>
      <c r="F8" s="7">
        <f t="shared" si="0"/>
        <v>-21</v>
      </c>
      <c r="G8" s="7">
        <f t="shared" si="1"/>
        <v>-8.9743589743589745</v>
      </c>
      <c r="H8" s="8">
        <v>16.632850241545889</v>
      </c>
      <c r="I8" s="9">
        <v>3443</v>
      </c>
      <c r="J8" s="20">
        <v>5</v>
      </c>
      <c r="K8" s="11">
        <v>0</v>
      </c>
      <c r="L8" s="12">
        <f t="shared" si="2"/>
        <v>4.830088532271759E-2</v>
      </c>
      <c r="M8" s="7">
        <f t="shared" si="3"/>
        <v>0.2912402639664925</v>
      </c>
    </row>
    <row r="9" spans="1:14" x14ac:dyDescent="0.25">
      <c r="A9" s="2">
        <v>5</v>
      </c>
      <c r="B9" s="47">
        <v>42139</v>
      </c>
      <c r="C9" s="4">
        <v>208</v>
      </c>
      <c r="D9" s="17">
        <v>6</v>
      </c>
      <c r="E9" s="6">
        <v>0</v>
      </c>
      <c r="F9" s="7">
        <f t="shared" si="0"/>
        <v>-5</v>
      </c>
      <c r="G9" s="7">
        <f t="shared" si="1"/>
        <v>-2.3474178403755865</v>
      </c>
      <c r="H9" s="8">
        <v>16.517804878048779</v>
      </c>
      <c r="I9" s="9">
        <v>3386.15</v>
      </c>
      <c r="J9" s="22">
        <v>6</v>
      </c>
      <c r="K9" s="11">
        <v>0</v>
      </c>
      <c r="L9" s="12">
        <f t="shared" si="2"/>
        <v>-0.11504536349711003</v>
      </c>
      <c r="M9" s="7">
        <f t="shared" si="3"/>
        <v>-0.69167558071164048</v>
      </c>
    </row>
    <row r="10" spans="1:14" x14ac:dyDescent="0.25">
      <c r="A10" s="2">
        <v>6</v>
      </c>
      <c r="B10" s="47">
        <v>42209</v>
      </c>
      <c r="C10" s="4">
        <v>196</v>
      </c>
      <c r="D10" s="21">
        <v>7</v>
      </c>
      <c r="E10" s="6">
        <v>0</v>
      </c>
      <c r="F10" s="7">
        <f t="shared" si="0"/>
        <v>-12</v>
      </c>
      <c r="G10" s="7">
        <f t="shared" si="1"/>
        <v>-5.7692307692307692</v>
      </c>
      <c r="H10" s="8">
        <v>17.044680851063831</v>
      </c>
      <c r="I10" s="9">
        <v>3204.4</v>
      </c>
      <c r="J10" s="24">
        <v>7</v>
      </c>
      <c r="K10" s="11">
        <v>0</v>
      </c>
      <c r="L10" s="12">
        <f t="shared" si="2"/>
        <v>0.52687597301505207</v>
      </c>
      <c r="M10" s="7">
        <f t="shared" si="3"/>
        <v>3.1897457132166527</v>
      </c>
    </row>
    <row r="11" spans="1:14" x14ac:dyDescent="0.25">
      <c r="A11" s="2">
        <v>7</v>
      </c>
      <c r="B11" s="47">
        <v>42278</v>
      </c>
      <c r="C11" s="4">
        <v>194</v>
      </c>
      <c r="D11" s="23">
        <v>8</v>
      </c>
      <c r="E11" s="6">
        <v>0</v>
      </c>
      <c r="F11" s="7">
        <f t="shared" si="0"/>
        <v>-2</v>
      </c>
      <c r="G11" s="7">
        <f t="shared" si="1"/>
        <v>-1.0204081632653061</v>
      </c>
      <c r="H11" s="8">
        <v>16.853421052631582</v>
      </c>
      <c r="I11" s="9">
        <v>3202.15</v>
      </c>
      <c r="J11" s="26">
        <v>8</v>
      </c>
      <c r="K11" s="11">
        <v>0</v>
      </c>
      <c r="L11" s="12">
        <f t="shared" si="2"/>
        <v>-0.19125979843224883</v>
      </c>
      <c r="M11" s="7">
        <f t="shared" si="3"/>
        <v>-1.1221084167164768</v>
      </c>
    </row>
    <row r="12" spans="1:14" x14ac:dyDescent="0.25">
      <c r="A12" s="2">
        <v>8</v>
      </c>
      <c r="B12" s="47">
        <v>42036</v>
      </c>
      <c r="C12" s="4">
        <v>191</v>
      </c>
      <c r="D12" s="25">
        <v>9</v>
      </c>
      <c r="E12" s="6">
        <v>0</v>
      </c>
      <c r="F12" s="7">
        <f t="shared" si="0"/>
        <v>-3</v>
      </c>
      <c r="G12" s="7">
        <f t="shared" si="1"/>
        <v>-1.5463917525773196</v>
      </c>
      <c r="H12" s="8">
        <v>16.96382978723404</v>
      </c>
      <c r="I12" s="9">
        <v>3189.2</v>
      </c>
      <c r="J12" s="28">
        <v>9</v>
      </c>
      <c r="K12" s="11">
        <v>0</v>
      </c>
      <c r="L12" s="12">
        <f t="shared" si="2"/>
        <v>0.11040873460245848</v>
      </c>
      <c r="M12" s="7">
        <f t="shared" si="3"/>
        <v>0.65511170852293321</v>
      </c>
    </row>
    <row r="13" spans="1:14" ht="18.75" x14ac:dyDescent="0.3">
      <c r="A13" s="2">
        <v>9</v>
      </c>
      <c r="B13" s="47">
        <v>42314</v>
      </c>
      <c r="C13" s="29">
        <f>SUBTOTAL(9,C4:C12)</f>
        <v>2028</v>
      </c>
      <c r="D13" s="30">
        <v>10</v>
      </c>
      <c r="E13" s="31">
        <f>SUBTOTAL(9,E4:E12)</f>
        <v>0</v>
      </c>
      <c r="F13" s="32">
        <f>SUBTOTAL(9,F4:F12)</f>
        <v>-75</v>
      </c>
      <c r="G13" s="32">
        <f>SUBTOTAL(9,G4:G12)</f>
        <v>-31.854285857395194</v>
      </c>
      <c r="H13" s="33">
        <f>SUBTOTAL(9,H4:H12)</f>
        <v>151.2982284149125</v>
      </c>
      <c r="I13" s="34">
        <f>SUBTOTAL(9,I4:I12)</f>
        <v>33437.700000000004</v>
      </c>
      <c r="J13" s="35">
        <v>10</v>
      </c>
      <c r="K13" s="31">
        <f>SUBTOTAL(9,K4:K12)</f>
        <v>0</v>
      </c>
      <c r="L13" s="36">
        <f>SUBTOTAL(9,L4:L12)</f>
        <v>8.2795304475421716E-2</v>
      </c>
      <c r="M13" s="32">
        <f>SUBTOTAL(9,M4:M12)</f>
        <v>0.5804973760804748</v>
      </c>
    </row>
  </sheetData>
  <autoFilter ref="A3:M12" xr:uid="{00000000-0009-0000-0000-000010000000}"/>
  <mergeCells count="1"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109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107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7">
        <v>42036</v>
      </c>
      <c r="C4" s="4">
        <v>191</v>
      </c>
      <c r="D4" s="25">
        <v>9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16.96382978723404</v>
      </c>
      <c r="I4" s="9">
        <v>3189.2</v>
      </c>
      <c r="J4" s="28">
        <v>9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47">
        <v>42139</v>
      </c>
      <c r="C5" s="4">
        <v>208</v>
      </c>
      <c r="D5" s="17">
        <v>6</v>
      </c>
      <c r="E5" s="6">
        <v>0</v>
      </c>
      <c r="F5" s="7">
        <f t="shared" si="0"/>
        <v>17</v>
      </c>
      <c r="G5" s="7">
        <f t="shared" si="1"/>
        <v>8.9005235602094235</v>
      </c>
      <c r="H5" s="8">
        <v>16.517804878048779</v>
      </c>
      <c r="I5" s="9">
        <v>3386.15</v>
      </c>
      <c r="J5" s="22">
        <v>6</v>
      </c>
      <c r="K5" s="11">
        <v>0</v>
      </c>
      <c r="L5" s="12">
        <f t="shared" si="2"/>
        <v>-0.44602490918526172</v>
      </c>
      <c r="M5" s="7">
        <f t="shared" si="3"/>
        <v>-2.6292701281459054</v>
      </c>
    </row>
    <row r="6" spans="1:14" x14ac:dyDescent="0.25">
      <c r="A6" s="2">
        <v>2</v>
      </c>
      <c r="B6" s="47">
        <v>42188</v>
      </c>
      <c r="C6" s="4">
        <v>213</v>
      </c>
      <c r="D6" s="27">
        <v>5</v>
      </c>
      <c r="E6" s="6">
        <v>0</v>
      </c>
      <c r="F6" s="7">
        <f t="shared" si="0"/>
        <v>5</v>
      </c>
      <c r="G6" s="7">
        <f t="shared" si="1"/>
        <v>2.4038461538461542</v>
      </c>
      <c r="H6" s="8">
        <v>16.632850241545889</v>
      </c>
      <c r="I6" s="9">
        <v>3443</v>
      </c>
      <c r="J6" s="20">
        <v>5</v>
      </c>
      <c r="K6" s="11">
        <v>0</v>
      </c>
      <c r="L6" s="12">
        <f t="shared" si="2"/>
        <v>0.11504536349711003</v>
      </c>
      <c r="M6" s="7">
        <f t="shared" si="3"/>
        <v>0.69649305308115594</v>
      </c>
    </row>
    <row r="7" spans="1:14" x14ac:dyDescent="0.25">
      <c r="A7" s="2">
        <v>3</v>
      </c>
      <c r="B7" s="47">
        <v>42189</v>
      </c>
      <c r="C7" s="4">
        <v>234</v>
      </c>
      <c r="D7" s="15">
        <v>4</v>
      </c>
      <c r="E7" s="6">
        <v>0</v>
      </c>
      <c r="F7" s="7">
        <f t="shared" si="0"/>
        <v>21</v>
      </c>
      <c r="G7" s="7">
        <f t="shared" si="1"/>
        <v>9.8591549295774641</v>
      </c>
      <c r="H7" s="8">
        <v>16.584549356223171</v>
      </c>
      <c r="I7" s="9">
        <v>3864.2</v>
      </c>
      <c r="J7" s="18">
        <v>4</v>
      </c>
      <c r="K7" s="11">
        <v>0</v>
      </c>
      <c r="L7" s="12">
        <f t="shared" si="2"/>
        <v>-4.830088532271759E-2</v>
      </c>
      <c r="M7" s="7">
        <f t="shared" si="3"/>
        <v>-0.29039451820512763</v>
      </c>
    </row>
    <row r="8" spans="1:14" x14ac:dyDescent="0.25">
      <c r="A8" s="2">
        <v>4</v>
      </c>
      <c r="B8" s="47">
        <v>42209</v>
      </c>
      <c r="C8" s="4">
        <v>196</v>
      </c>
      <c r="D8" s="21">
        <v>7</v>
      </c>
      <c r="E8" s="6">
        <v>0</v>
      </c>
      <c r="F8" s="7">
        <f t="shared" si="0"/>
        <v>-38</v>
      </c>
      <c r="G8" s="7">
        <f t="shared" si="1"/>
        <v>-16.239316239316238</v>
      </c>
      <c r="H8" s="8">
        <v>17.044680851063831</v>
      </c>
      <c r="I8" s="9">
        <v>3204.4</v>
      </c>
      <c r="J8" s="24">
        <v>7</v>
      </c>
      <c r="K8" s="11">
        <v>0</v>
      </c>
      <c r="L8" s="12">
        <f t="shared" si="2"/>
        <v>0.46013149484065963</v>
      </c>
      <c r="M8" s="7">
        <f t="shared" si="3"/>
        <v>2.7744588348914063</v>
      </c>
    </row>
    <row r="9" spans="1:14" x14ac:dyDescent="0.25">
      <c r="A9" s="2">
        <v>5</v>
      </c>
      <c r="B9" s="47">
        <v>42278</v>
      </c>
      <c r="C9" s="4">
        <v>194</v>
      </c>
      <c r="D9" s="23">
        <v>8</v>
      </c>
      <c r="E9" s="6">
        <v>0</v>
      </c>
      <c r="F9" s="7">
        <f t="shared" si="0"/>
        <v>-2</v>
      </c>
      <c r="G9" s="7">
        <f t="shared" si="1"/>
        <v>-1.0204081632653061</v>
      </c>
      <c r="H9" s="8">
        <v>16.853421052631582</v>
      </c>
      <c r="I9" s="9">
        <v>3202.15</v>
      </c>
      <c r="J9" s="26">
        <v>8</v>
      </c>
      <c r="K9" s="11">
        <v>0</v>
      </c>
      <c r="L9" s="12">
        <f t="shared" si="2"/>
        <v>-0.19125979843224883</v>
      </c>
      <c r="M9" s="7">
        <f t="shared" si="3"/>
        <v>-1.1221084167164768</v>
      </c>
    </row>
    <row r="10" spans="1:14" x14ac:dyDescent="0.25">
      <c r="A10" s="2">
        <v>6</v>
      </c>
      <c r="B10" s="47">
        <v>42292</v>
      </c>
      <c r="C10" s="4">
        <v>262</v>
      </c>
      <c r="D10" s="13">
        <v>3</v>
      </c>
      <c r="E10" s="6">
        <v>0</v>
      </c>
      <c r="F10" s="7">
        <f t="shared" si="0"/>
        <v>68</v>
      </c>
      <c r="G10" s="7">
        <f t="shared" si="1"/>
        <v>35.051546391752574</v>
      </c>
      <c r="H10" s="8">
        <v>16.744961240310079</v>
      </c>
      <c r="I10" s="9">
        <v>4320.2</v>
      </c>
      <c r="J10" s="16">
        <v>3</v>
      </c>
      <c r="K10" s="11">
        <v>0</v>
      </c>
      <c r="L10" s="12">
        <f t="shared" si="2"/>
        <v>-0.10845981232150237</v>
      </c>
      <c r="M10" s="7">
        <f t="shared" si="3"/>
        <v>-0.64354775201303638</v>
      </c>
    </row>
    <row r="11" spans="1:14" x14ac:dyDescent="0.25">
      <c r="A11" s="2">
        <v>7</v>
      </c>
      <c r="B11" s="47">
        <v>42314</v>
      </c>
      <c r="C11" s="4">
        <v>190</v>
      </c>
      <c r="D11" s="30">
        <v>10</v>
      </c>
      <c r="E11" s="6">
        <v>0</v>
      </c>
      <c r="F11" s="7">
        <f t="shared" si="0"/>
        <v>-72</v>
      </c>
      <c r="G11" s="7">
        <f t="shared" si="1"/>
        <v>-27.480916030534353</v>
      </c>
      <c r="H11" s="8">
        <v>17.067567567567568</v>
      </c>
      <c r="I11" s="9">
        <v>3157.5</v>
      </c>
      <c r="J11" s="35">
        <v>10</v>
      </c>
      <c r="K11" s="11">
        <v>0</v>
      </c>
      <c r="L11" s="12">
        <f t="shared" si="2"/>
        <v>0.32260632725748906</v>
      </c>
      <c r="M11" s="7">
        <f t="shared" si="3"/>
        <v>1.9265874828117253</v>
      </c>
    </row>
    <row r="12" spans="1:14" x14ac:dyDescent="0.25">
      <c r="A12" s="2">
        <v>8</v>
      </c>
      <c r="B12" s="47">
        <v>42334</v>
      </c>
      <c r="C12" s="4">
        <v>266</v>
      </c>
      <c r="D12" s="19">
        <v>1</v>
      </c>
      <c r="E12" s="6">
        <v>0</v>
      </c>
      <c r="F12" s="7">
        <f t="shared" si="0"/>
        <v>76</v>
      </c>
      <c r="G12" s="7">
        <f t="shared" si="1"/>
        <v>40</v>
      </c>
      <c r="H12" s="8">
        <v>16.881034482758619</v>
      </c>
      <c r="I12" s="9">
        <v>4405.95</v>
      </c>
      <c r="J12" s="14">
        <v>2</v>
      </c>
      <c r="K12" s="11">
        <v>0</v>
      </c>
      <c r="L12" s="12">
        <f t="shared" si="2"/>
        <v>-0.18653308480894992</v>
      </c>
      <c r="M12" s="7">
        <f t="shared" si="3"/>
        <v>-1.0929096022060407</v>
      </c>
    </row>
    <row r="13" spans="1:14" ht="18.75" x14ac:dyDescent="0.3">
      <c r="A13" s="2">
        <v>9</v>
      </c>
      <c r="B13" s="47">
        <v>42335</v>
      </c>
      <c r="C13" s="29">
        <f>SUBTOTAL(9,C4:C12)</f>
        <v>1954</v>
      </c>
      <c r="D13" s="5">
        <v>2</v>
      </c>
      <c r="E13" s="31">
        <f>SUBTOTAL(9,E4:E12)</f>
        <v>0</v>
      </c>
      <c r="F13" s="32">
        <f>SUBTOTAL(9,F4:F12)</f>
        <v>75</v>
      </c>
      <c r="G13" s="32">
        <f>SUBTOTAL(9,G4:G12)</f>
        <v>51.47443060226972</v>
      </c>
      <c r="H13" s="33">
        <f>SUBTOTAL(9,H4:H12)</f>
        <v>151.29069945738357</v>
      </c>
      <c r="I13" s="34">
        <f>SUBTOTAL(9,I4:I12)</f>
        <v>32172.750000000004</v>
      </c>
      <c r="J13" s="10">
        <v>1</v>
      </c>
      <c r="K13" s="31">
        <f>SUBTOTAL(9,K4:K12)</f>
        <v>0</v>
      </c>
      <c r="L13" s="36">
        <f>SUBTOTAL(9,L4:L12)</f>
        <v>-8.2795304475421716E-2</v>
      </c>
      <c r="M13" s="32">
        <f>SUBTOTAL(9,M4:M12)</f>
        <v>-0.38069104650229924</v>
      </c>
    </row>
  </sheetData>
  <autoFilter ref="A3:M12" xr:uid="{00000000-0009-0000-0000-000011000000}"/>
  <mergeCells count="1">
    <mergeCell ref="A1:N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121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110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8" t="s">
        <v>111</v>
      </c>
      <c r="C4" s="4">
        <v>27</v>
      </c>
      <c r="D4" s="49">
        <v>2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17.7</v>
      </c>
      <c r="I4" s="9">
        <v>460.2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48" t="s">
        <v>112</v>
      </c>
      <c r="C5" s="4">
        <v>28</v>
      </c>
      <c r="D5" s="19">
        <v>1</v>
      </c>
      <c r="E5" s="6">
        <v>0</v>
      </c>
      <c r="F5" s="7">
        <f t="shared" si="0"/>
        <v>1</v>
      </c>
      <c r="G5" s="7">
        <f t="shared" si="1"/>
        <v>3.7037037037037033</v>
      </c>
      <c r="H5" s="8">
        <v>21.152380952380948</v>
      </c>
      <c r="I5" s="9">
        <v>444.2</v>
      </c>
      <c r="J5" s="14">
        <v>2</v>
      </c>
      <c r="K5" s="11">
        <v>0</v>
      </c>
      <c r="L5" s="12">
        <f t="shared" si="2"/>
        <v>3.452380952380949</v>
      </c>
      <c r="M5" s="7">
        <f t="shared" si="3"/>
        <v>19.504977132095757</v>
      </c>
    </row>
    <row r="6" spans="1:14" x14ac:dyDescent="0.25">
      <c r="A6" s="2">
        <v>2</v>
      </c>
      <c r="B6" s="48" t="s">
        <v>113</v>
      </c>
      <c r="C6" s="4">
        <v>25</v>
      </c>
      <c r="D6" s="15">
        <v>3</v>
      </c>
      <c r="E6" s="6">
        <v>0</v>
      </c>
      <c r="F6" s="7">
        <f t="shared" si="0"/>
        <v>-3</v>
      </c>
      <c r="G6" s="7">
        <f t="shared" si="1"/>
        <v>-10.714285714285714</v>
      </c>
      <c r="H6" s="8">
        <v>18.25</v>
      </c>
      <c r="I6" s="9">
        <v>419.75</v>
      </c>
      <c r="J6" s="16">
        <v>3</v>
      </c>
      <c r="K6" s="11">
        <v>0</v>
      </c>
      <c r="L6" s="12">
        <f t="shared" si="2"/>
        <v>-2.9023809523809483</v>
      </c>
      <c r="M6" s="7">
        <f t="shared" si="3"/>
        <v>-13.721296713192238</v>
      </c>
    </row>
    <row r="7" spans="1:14" x14ac:dyDescent="0.25">
      <c r="A7" s="2">
        <v>3</v>
      </c>
      <c r="B7" s="48" t="s">
        <v>114</v>
      </c>
      <c r="C7" s="4">
        <v>25</v>
      </c>
      <c r="D7" s="15">
        <v>3</v>
      </c>
      <c r="E7" s="6">
        <v>0</v>
      </c>
      <c r="F7" s="7">
        <f t="shared" si="0"/>
        <v>0</v>
      </c>
      <c r="G7" s="7">
        <f t="shared" si="1"/>
        <v>0</v>
      </c>
      <c r="H7" s="8">
        <v>19.86428571428571</v>
      </c>
      <c r="I7" s="9">
        <v>417.15</v>
      </c>
      <c r="J7" s="18">
        <v>4</v>
      </c>
      <c r="K7" s="11">
        <v>0</v>
      </c>
      <c r="L7" s="12">
        <f t="shared" si="2"/>
        <v>1.6142857142857103</v>
      </c>
      <c r="M7" s="7">
        <f t="shared" si="3"/>
        <v>8.8454011741682752</v>
      </c>
    </row>
    <row r="8" spans="1:14" x14ac:dyDescent="0.25">
      <c r="A8" s="2">
        <v>4</v>
      </c>
      <c r="B8" s="48" t="s">
        <v>115</v>
      </c>
      <c r="C8" s="4">
        <v>25</v>
      </c>
      <c r="D8" s="15">
        <v>3</v>
      </c>
      <c r="E8" s="6">
        <v>0</v>
      </c>
      <c r="F8" s="7">
        <f t="shared" si="0"/>
        <v>0</v>
      </c>
      <c r="G8" s="7">
        <f t="shared" si="1"/>
        <v>0</v>
      </c>
      <c r="H8" s="8">
        <v>17.423913043478262</v>
      </c>
      <c r="I8" s="9">
        <v>400.75</v>
      </c>
      <c r="J8" s="20">
        <v>5</v>
      </c>
      <c r="K8" s="11">
        <v>0</v>
      </c>
      <c r="L8" s="12">
        <f t="shared" si="2"/>
        <v>-2.4403726708074487</v>
      </c>
      <c r="M8" s="7">
        <f t="shared" si="3"/>
        <v>-12.285227397088921</v>
      </c>
    </row>
    <row r="9" spans="1:14" x14ac:dyDescent="0.25">
      <c r="A9" s="2">
        <v>5</v>
      </c>
      <c r="B9" s="48" t="s">
        <v>116</v>
      </c>
      <c r="C9" s="4">
        <v>25</v>
      </c>
      <c r="D9" s="15">
        <v>3</v>
      </c>
      <c r="E9" s="6">
        <v>0</v>
      </c>
      <c r="F9" s="7">
        <f t="shared" si="0"/>
        <v>0</v>
      </c>
      <c r="G9" s="7">
        <f t="shared" si="1"/>
        <v>0</v>
      </c>
      <c r="H9" s="8">
        <v>16.322916666666671</v>
      </c>
      <c r="I9" s="9">
        <v>391.75</v>
      </c>
      <c r="J9" s="22">
        <v>6</v>
      </c>
      <c r="K9" s="11">
        <v>0</v>
      </c>
      <c r="L9" s="12">
        <f t="shared" si="2"/>
        <v>-1.1009963768115902</v>
      </c>
      <c r="M9" s="7">
        <f t="shared" si="3"/>
        <v>-6.3188812642960892</v>
      </c>
    </row>
    <row r="10" spans="1:14" x14ac:dyDescent="0.25">
      <c r="A10" s="2">
        <v>6</v>
      </c>
      <c r="B10" s="48" t="s">
        <v>117</v>
      </c>
      <c r="C10" s="4">
        <v>24</v>
      </c>
      <c r="D10" s="43">
        <v>4</v>
      </c>
      <c r="E10" s="6">
        <v>0</v>
      </c>
      <c r="F10" s="7">
        <f t="shared" si="0"/>
        <v>-1</v>
      </c>
      <c r="G10" s="7">
        <f t="shared" si="1"/>
        <v>-4</v>
      </c>
      <c r="H10" s="8">
        <v>16.963043478260872</v>
      </c>
      <c r="I10" s="9">
        <v>390.15</v>
      </c>
      <c r="J10" s="24">
        <v>7</v>
      </c>
      <c r="K10" s="11">
        <v>0</v>
      </c>
      <c r="L10" s="12">
        <f t="shared" si="2"/>
        <v>0.64012681159420026</v>
      </c>
      <c r="M10" s="7">
        <f t="shared" si="3"/>
        <v>3.9216447934296879</v>
      </c>
    </row>
    <row r="11" spans="1:14" x14ac:dyDescent="0.25">
      <c r="A11" s="2">
        <v>7</v>
      </c>
      <c r="B11" s="48" t="s">
        <v>118</v>
      </c>
      <c r="C11" s="4">
        <v>21</v>
      </c>
      <c r="D11" s="30">
        <v>7</v>
      </c>
      <c r="E11" s="6">
        <v>0</v>
      </c>
      <c r="F11" s="7">
        <f t="shared" si="0"/>
        <v>-3</v>
      </c>
      <c r="G11" s="7">
        <f t="shared" si="1"/>
        <v>-12.5</v>
      </c>
      <c r="H11" s="8">
        <v>20.68611111111111</v>
      </c>
      <c r="I11" s="9">
        <v>372.35</v>
      </c>
      <c r="J11" s="26">
        <v>8</v>
      </c>
      <c r="K11" s="11">
        <v>0</v>
      </c>
      <c r="L11" s="12">
        <f t="shared" si="2"/>
        <v>3.7230676328502383</v>
      </c>
      <c r="M11" s="7">
        <f t="shared" si="3"/>
        <v>21.948111125350628</v>
      </c>
    </row>
    <row r="12" spans="1:14" x14ac:dyDescent="0.25">
      <c r="A12" s="2">
        <v>8</v>
      </c>
      <c r="B12" s="48" t="s">
        <v>119</v>
      </c>
      <c r="C12" s="4">
        <v>22</v>
      </c>
      <c r="D12" s="50">
        <v>6</v>
      </c>
      <c r="E12" s="6">
        <v>0</v>
      </c>
      <c r="F12" s="7">
        <f t="shared" si="0"/>
        <v>1</v>
      </c>
      <c r="G12" s="7">
        <f t="shared" si="1"/>
        <v>4.7619047619047619</v>
      </c>
      <c r="H12" s="8">
        <v>18.309999999999999</v>
      </c>
      <c r="I12" s="9">
        <v>366.2</v>
      </c>
      <c r="J12" s="28">
        <v>9</v>
      </c>
      <c r="K12" s="11">
        <v>0</v>
      </c>
      <c r="L12" s="12">
        <f t="shared" si="2"/>
        <v>-2.3761111111111113</v>
      </c>
      <c r="M12" s="7">
        <f t="shared" si="3"/>
        <v>-11.486504632738017</v>
      </c>
    </row>
    <row r="13" spans="1:14" ht="18.75" x14ac:dyDescent="0.3">
      <c r="A13" s="2">
        <v>9</v>
      </c>
      <c r="B13" s="48" t="s">
        <v>120</v>
      </c>
      <c r="C13" s="29">
        <f>SUBTOTAL(9,C4:C12)</f>
        <v>222</v>
      </c>
      <c r="D13" s="21">
        <v>5</v>
      </c>
      <c r="E13" s="31">
        <f>SUBTOTAL(9,E4:E12)</f>
        <v>0</v>
      </c>
      <c r="F13" s="32">
        <f>SUBTOTAL(9,F4:F12)</f>
        <v>-5</v>
      </c>
      <c r="G13" s="32">
        <f>SUBTOTAL(9,G4:G12)</f>
        <v>-18.748677248677247</v>
      </c>
      <c r="H13" s="33">
        <f>SUBTOTAL(9,H4:H12)</f>
        <v>166.67265096618357</v>
      </c>
      <c r="I13" s="34">
        <f>SUBTOTAL(9,I4:I12)</f>
        <v>3662.5</v>
      </c>
      <c r="J13" s="35">
        <v>10</v>
      </c>
      <c r="K13" s="31">
        <f>SUBTOTAL(9,K4:K12)</f>
        <v>0</v>
      </c>
      <c r="L13" s="36">
        <f>SUBTOTAL(9,L4:L12)</f>
        <v>0.60999999999999943</v>
      </c>
      <c r="M13" s="32">
        <f>SUBTOTAL(9,M4:M12)</f>
        <v>10.408224217729083</v>
      </c>
    </row>
  </sheetData>
  <autoFilter ref="A3:M12" xr:uid="{00000000-0009-0000-0000-000012000000}"/>
  <mergeCells count="1">
    <mergeCell ref="A1:N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121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110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8" t="s">
        <v>120</v>
      </c>
      <c r="C4" s="4">
        <v>23</v>
      </c>
      <c r="D4" s="21">
        <v>5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17.023809523809529</v>
      </c>
      <c r="I4" s="9">
        <v>357.5</v>
      </c>
      <c r="J4" s="35">
        <v>10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48" t="s">
        <v>116</v>
      </c>
      <c r="C5" s="4">
        <v>25</v>
      </c>
      <c r="D5" s="15">
        <v>3</v>
      </c>
      <c r="E5" s="6">
        <v>0</v>
      </c>
      <c r="F5" s="7">
        <f t="shared" si="0"/>
        <v>2</v>
      </c>
      <c r="G5" s="7">
        <f t="shared" si="1"/>
        <v>8.695652173913043</v>
      </c>
      <c r="H5" s="8">
        <v>16.322916666666671</v>
      </c>
      <c r="I5" s="9">
        <v>391.75</v>
      </c>
      <c r="J5" s="22">
        <v>6</v>
      </c>
      <c r="K5" s="11">
        <v>0</v>
      </c>
      <c r="L5" s="12">
        <f t="shared" si="2"/>
        <v>-0.70089285714285765</v>
      </c>
      <c r="M5" s="7">
        <f t="shared" si="3"/>
        <v>-4.1171328671328684</v>
      </c>
    </row>
    <row r="6" spans="1:14" x14ac:dyDescent="0.25">
      <c r="A6" s="2">
        <v>2</v>
      </c>
      <c r="B6" s="48" t="s">
        <v>119</v>
      </c>
      <c r="C6" s="4">
        <v>22</v>
      </c>
      <c r="D6" s="50">
        <v>6</v>
      </c>
      <c r="E6" s="6">
        <v>0</v>
      </c>
      <c r="F6" s="7">
        <f t="shared" si="0"/>
        <v>-3</v>
      </c>
      <c r="G6" s="7">
        <f t="shared" si="1"/>
        <v>-12</v>
      </c>
      <c r="H6" s="8">
        <v>18.309999999999999</v>
      </c>
      <c r="I6" s="9">
        <v>366.2</v>
      </c>
      <c r="J6" s="28">
        <v>9</v>
      </c>
      <c r="K6" s="11">
        <v>0</v>
      </c>
      <c r="L6" s="12">
        <f t="shared" si="2"/>
        <v>1.9870833333333273</v>
      </c>
      <c r="M6" s="7">
        <f t="shared" si="3"/>
        <v>12.173580089342654</v>
      </c>
    </row>
    <row r="7" spans="1:14" x14ac:dyDescent="0.25">
      <c r="A7" s="2">
        <v>3</v>
      </c>
      <c r="B7" s="48" t="s">
        <v>112</v>
      </c>
      <c r="C7" s="4">
        <v>28</v>
      </c>
      <c r="D7" s="19">
        <v>1</v>
      </c>
      <c r="E7" s="6">
        <v>0</v>
      </c>
      <c r="F7" s="7">
        <f t="shared" si="0"/>
        <v>6</v>
      </c>
      <c r="G7" s="7">
        <f t="shared" si="1"/>
        <v>27.27272727272727</v>
      </c>
      <c r="H7" s="8">
        <v>21.152380952380948</v>
      </c>
      <c r="I7" s="9">
        <v>444.2</v>
      </c>
      <c r="J7" s="14">
        <v>2</v>
      </c>
      <c r="K7" s="11">
        <v>0</v>
      </c>
      <c r="L7" s="12">
        <f t="shared" si="2"/>
        <v>2.8423809523809496</v>
      </c>
      <c r="M7" s="7">
        <f t="shared" si="3"/>
        <v>15.523653481053795</v>
      </c>
    </row>
    <row r="8" spans="1:14" x14ac:dyDescent="0.25">
      <c r="A8" s="2">
        <v>4</v>
      </c>
      <c r="B8" s="48" t="s">
        <v>117</v>
      </c>
      <c r="C8" s="4">
        <v>24</v>
      </c>
      <c r="D8" s="43">
        <v>4</v>
      </c>
      <c r="E8" s="6">
        <v>0</v>
      </c>
      <c r="F8" s="7">
        <f t="shared" si="0"/>
        <v>-4</v>
      </c>
      <c r="G8" s="7">
        <f t="shared" si="1"/>
        <v>-14.285714285714285</v>
      </c>
      <c r="H8" s="8">
        <v>16.963043478260872</v>
      </c>
      <c r="I8" s="9">
        <v>390.15</v>
      </c>
      <c r="J8" s="24">
        <v>7</v>
      </c>
      <c r="K8" s="11">
        <v>0</v>
      </c>
      <c r="L8" s="12">
        <f t="shared" si="2"/>
        <v>-4.1893374741200766</v>
      </c>
      <c r="M8" s="7">
        <f t="shared" si="3"/>
        <v>-19.805512597145796</v>
      </c>
    </row>
    <row r="9" spans="1:14" x14ac:dyDescent="0.25">
      <c r="A9" s="2">
        <v>5</v>
      </c>
      <c r="B9" s="48" t="s">
        <v>111</v>
      </c>
      <c r="C9" s="4">
        <v>27</v>
      </c>
      <c r="D9" s="49">
        <v>2</v>
      </c>
      <c r="E9" s="6">
        <v>0</v>
      </c>
      <c r="F9" s="7">
        <f t="shared" si="0"/>
        <v>3</v>
      </c>
      <c r="G9" s="7">
        <f t="shared" si="1"/>
        <v>12.5</v>
      </c>
      <c r="H9" s="8">
        <v>17.7</v>
      </c>
      <c r="I9" s="9">
        <v>460.2</v>
      </c>
      <c r="J9" s="10">
        <v>1</v>
      </c>
      <c r="K9" s="11">
        <v>0</v>
      </c>
      <c r="L9" s="12">
        <f t="shared" si="2"/>
        <v>0.73695652173912762</v>
      </c>
      <c r="M9" s="7">
        <f t="shared" si="3"/>
        <v>4.3444828911956774</v>
      </c>
    </row>
    <row r="10" spans="1:14" x14ac:dyDescent="0.25">
      <c r="A10" s="2">
        <v>6</v>
      </c>
      <c r="B10" s="48" t="s">
        <v>115</v>
      </c>
      <c r="C10" s="4">
        <v>25</v>
      </c>
      <c r="D10" s="15">
        <v>3</v>
      </c>
      <c r="E10" s="6">
        <v>0</v>
      </c>
      <c r="F10" s="7">
        <f t="shared" si="0"/>
        <v>-2</v>
      </c>
      <c r="G10" s="7">
        <f t="shared" si="1"/>
        <v>-7.4074074074074066</v>
      </c>
      <c r="H10" s="8">
        <v>17.423913043478262</v>
      </c>
      <c r="I10" s="9">
        <v>400.75</v>
      </c>
      <c r="J10" s="20">
        <v>5</v>
      </c>
      <c r="K10" s="11">
        <v>0</v>
      </c>
      <c r="L10" s="12">
        <f t="shared" si="2"/>
        <v>-0.27608695652173765</v>
      </c>
      <c r="M10" s="7">
        <f t="shared" si="3"/>
        <v>-1.5598133136821337</v>
      </c>
    </row>
    <row r="11" spans="1:14" x14ac:dyDescent="0.25">
      <c r="A11" s="2">
        <v>7</v>
      </c>
      <c r="B11" s="48" t="s">
        <v>113</v>
      </c>
      <c r="C11" s="4">
        <v>25</v>
      </c>
      <c r="D11" s="15">
        <v>3</v>
      </c>
      <c r="E11" s="6">
        <v>0</v>
      </c>
      <c r="F11" s="7">
        <f t="shared" si="0"/>
        <v>0</v>
      </c>
      <c r="G11" s="7">
        <f t="shared" si="1"/>
        <v>0</v>
      </c>
      <c r="H11" s="8">
        <v>18.25</v>
      </c>
      <c r="I11" s="9">
        <v>419.75</v>
      </c>
      <c r="J11" s="16">
        <v>3</v>
      </c>
      <c r="K11" s="11">
        <v>0</v>
      </c>
      <c r="L11" s="12">
        <f t="shared" si="2"/>
        <v>0.82608695652173836</v>
      </c>
      <c r="M11" s="7">
        <f t="shared" si="3"/>
        <v>4.7411104179663086</v>
      </c>
    </row>
    <row r="12" spans="1:14" x14ac:dyDescent="0.25">
      <c r="A12" s="2">
        <v>8</v>
      </c>
      <c r="B12" s="48" t="s">
        <v>118</v>
      </c>
      <c r="C12" s="4">
        <v>21</v>
      </c>
      <c r="D12" s="30">
        <v>7</v>
      </c>
      <c r="E12" s="6">
        <v>0</v>
      </c>
      <c r="F12" s="7">
        <f t="shared" si="0"/>
        <v>-4</v>
      </c>
      <c r="G12" s="7">
        <f t="shared" si="1"/>
        <v>-16</v>
      </c>
      <c r="H12" s="8">
        <v>20.68611111111111</v>
      </c>
      <c r="I12" s="9">
        <v>372.35</v>
      </c>
      <c r="J12" s="26">
        <v>8</v>
      </c>
      <c r="K12" s="11">
        <v>0</v>
      </c>
      <c r="L12" s="12">
        <f t="shared" si="2"/>
        <v>2.43611111111111</v>
      </c>
      <c r="M12" s="7">
        <f t="shared" si="3"/>
        <v>13.348554033485534</v>
      </c>
    </row>
    <row r="13" spans="1:14" ht="18.75" x14ac:dyDescent="0.3">
      <c r="A13" s="2">
        <v>9</v>
      </c>
      <c r="B13" s="48" t="s">
        <v>114</v>
      </c>
      <c r="C13" s="29">
        <f>SUBTOTAL(9,C4:C12)</f>
        <v>220</v>
      </c>
      <c r="D13" s="15">
        <v>3</v>
      </c>
      <c r="E13" s="31">
        <f>SUBTOTAL(9,E4:E12)</f>
        <v>0</v>
      </c>
      <c r="F13" s="32">
        <f>SUBTOTAL(9,F4:F12)</f>
        <v>-2</v>
      </c>
      <c r="G13" s="32">
        <f>SUBTOTAL(9,G4:G12)</f>
        <v>-1.2247422464813784</v>
      </c>
      <c r="H13" s="33">
        <f>SUBTOTAL(9,H4:H12)</f>
        <v>163.83217477570739</v>
      </c>
      <c r="I13" s="34">
        <f>SUBTOTAL(9,I4:I12)</f>
        <v>3602.85</v>
      </c>
      <c r="J13" s="18">
        <v>4</v>
      </c>
      <c r="K13" s="31">
        <f>SUBTOTAL(9,K4:K12)</f>
        <v>0</v>
      </c>
      <c r="L13" s="36">
        <f>SUBTOTAL(9,L4:L12)</f>
        <v>3.662301587301581</v>
      </c>
      <c r="M13" s="32">
        <f>SUBTOTAL(9,M4:M12)</f>
        <v>24.648922135083176</v>
      </c>
    </row>
  </sheetData>
  <autoFilter ref="A3:M12" xr:uid="{00000000-0009-0000-0000-000013000000}"/>
  <mergeCells count="1">
    <mergeCell ref="A1:N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4.7109375" customWidth="1"/>
  </cols>
  <sheetData>
    <row r="1" spans="1:14" ht="18.75" x14ac:dyDescent="0.25">
      <c r="A1" s="124" t="s">
        <v>160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110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8" t="s">
        <v>112</v>
      </c>
      <c r="C4" s="4">
        <v>28</v>
      </c>
      <c r="D4" s="19">
        <v>1</v>
      </c>
      <c r="E4" s="6">
        <v>0</v>
      </c>
      <c r="F4" s="7" t="str">
        <f t="shared" ref="F4:F50" si="0">IF(ROW()=4,"",C4-C3)</f>
        <v/>
      </c>
      <c r="G4" s="7" t="str">
        <f t="shared" ref="G4:G50" si="1">IF(ROW()=4,"",(C4-C3)/C3*100)</f>
        <v/>
      </c>
      <c r="H4" s="8">
        <v>21.152380952380948</v>
      </c>
      <c r="I4" s="9">
        <v>444.2</v>
      </c>
      <c r="J4" s="51">
        <v>2</v>
      </c>
      <c r="K4" s="11">
        <v>0</v>
      </c>
      <c r="L4" s="12" t="str">
        <f t="shared" ref="L4:L50" si="2">IF(ROW()=4,"",H4-H3)</f>
        <v/>
      </c>
      <c r="M4" s="7" t="str">
        <f t="shared" ref="M4:M50" si="3">IF(ROW()=4,"",(H4-H3)/H3*100)</f>
        <v/>
      </c>
    </row>
    <row r="5" spans="1:14" x14ac:dyDescent="0.25">
      <c r="A5" s="2">
        <v>1</v>
      </c>
      <c r="B5" s="48" t="s">
        <v>111</v>
      </c>
      <c r="C5" s="4">
        <v>27</v>
      </c>
      <c r="D5" s="5">
        <v>2</v>
      </c>
      <c r="E5" s="6">
        <v>0</v>
      </c>
      <c r="F5" s="7">
        <f t="shared" si="0"/>
        <v>-1</v>
      </c>
      <c r="G5" s="7">
        <f t="shared" si="1"/>
        <v>-3.5714285714285712</v>
      </c>
      <c r="H5" s="8">
        <v>17.7</v>
      </c>
      <c r="I5" s="9">
        <v>460.2</v>
      </c>
      <c r="J5" s="10">
        <v>1</v>
      </c>
      <c r="K5" s="11">
        <v>0</v>
      </c>
      <c r="L5" s="12">
        <f t="shared" si="2"/>
        <v>-3.452380952380949</v>
      </c>
      <c r="M5" s="7">
        <f t="shared" si="3"/>
        <v>-16.321476812246726</v>
      </c>
    </row>
    <row r="6" spans="1:14" x14ac:dyDescent="0.25">
      <c r="A6" s="2">
        <v>2</v>
      </c>
      <c r="B6" s="48" t="s">
        <v>115</v>
      </c>
      <c r="C6" s="4">
        <v>25</v>
      </c>
      <c r="D6" s="13">
        <v>3</v>
      </c>
      <c r="E6" s="6">
        <v>0</v>
      </c>
      <c r="F6" s="7">
        <f t="shared" si="0"/>
        <v>-2</v>
      </c>
      <c r="G6" s="7">
        <f t="shared" si="1"/>
        <v>-7.4074074074074066</v>
      </c>
      <c r="H6" s="8">
        <v>17.423913043478262</v>
      </c>
      <c r="I6" s="9">
        <v>400.75</v>
      </c>
      <c r="J6" s="52">
        <v>5</v>
      </c>
      <c r="K6" s="11">
        <v>0</v>
      </c>
      <c r="L6" s="12">
        <f t="shared" si="2"/>
        <v>-0.27608695652173765</v>
      </c>
      <c r="M6" s="7">
        <f t="shared" si="3"/>
        <v>-1.5598133136821337</v>
      </c>
    </row>
    <row r="7" spans="1:14" x14ac:dyDescent="0.25">
      <c r="A7" s="2">
        <v>3</v>
      </c>
      <c r="B7" s="48" t="s">
        <v>116</v>
      </c>
      <c r="C7" s="4">
        <v>25</v>
      </c>
      <c r="D7" s="13">
        <v>3</v>
      </c>
      <c r="E7" s="6">
        <v>0</v>
      </c>
      <c r="F7" s="7">
        <f t="shared" si="0"/>
        <v>0</v>
      </c>
      <c r="G7" s="7">
        <f t="shared" si="1"/>
        <v>0</v>
      </c>
      <c r="H7" s="8">
        <v>16.322916666666671</v>
      </c>
      <c r="I7" s="9">
        <v>391.75</v>
      </c>
      <c r="J7" s="53">
        <v>6</v>
      </c>
      <c r="K7" s="11">
        <v>0</v>
      </c>
      <c r="L7" s="12">
        <f t="shared" si="2"/>
        <v>-1.1009963768115902</v>
      </c>
      <c r="M7" s="7">
        <f t="shared" si="3"/>
        <v>-6.3188812642960892</v>
      </c>
    </row>
    <row r="8" spans="1:14" x14ac:dyDescent="0.25">
      <c r="A8" s="2">
        <v>4</v>
      </c>
      <c r="B8" s="48" t="s">
        <v>113</v>
      </c>
      <c r="C8" s="4">
        <v>25</v>
      </c>
      <c r="D8" s="13">
        <v>3</v>
      </c>
      <c r="E8" s="6">
        <v>0</v>
      </c>
      <c r="F8" s="7">
        <f t="shared" si="0"/>
        <v>0</v>
      </c>
      <c r="G8" s="7">
        <f t="shared" si="1"/>
        <v>0</v>
      </c>
      <c r="H8" s="8">
        <v>18.25</v>
      </c>
      <c r="I8" s="9">
        <v>419.75</v>
      </c>
      <c r="J8" s="54">
        <v>3</v>
      </c>
      <c r="K8" s="11">
        <v>0</v>
      </c>
      <c r="L8" s="12">
        <f t="shared" si="2"/>
        <v>1.9270833333333286</v>
      </c>
      <c r="M8" s="7">
        <f t="shared" si="3"/>
        <v>11.805998723675781</v>
      </c>
    </row>
    <row r="9" spans="1:14" x14ac:dyDescent="0.25">
      <c r="A9" s="2">
        <v>5</v>
      </c>
      <c r="B9" s="48" t="s">
        <v>114</v>
      </c>
      <c r="C9" s="4">
        <v>25</v>
      </c>
      <c r="D9" s="13">
        <v>3</v>
      </c>
      <c r="E9" s="6">
        <v>0</v>
      </c>
      <c r="F9" s="7">
        <f t="shared" si="0"/>
        <v>0</v>
      </c>
      <c r="G9" s="7">
        <f t="shared" si="1"/>
        <v>0</v>
      </c>
      <c r="H9" s="8">
        <v>19.86428571428571</v>
      </c>
      <c r="I9" s="9">
        <v>417.15</v>
      </c>
      <c r="J9" s="55">
        <v>4</v>
      </c>
      <c r="K9" s="11">
        <v>0</v>
      </c>
      <c r="L9" s="12">
        <f t="shared" si="2"/>
        <v>1.6142857142857103</v>
      </c>
      <c r="M9" s="7">
        <f t="shared" si="3"/>
        <v>8.8454011741682752</v>
      </c>
    </row>
    <row r="10" spans="1:14" x14ac:dyDescent="0.25">
      <c r="A10" s="2">
        <v>6</v>
      </c>
      <c r="B10" s="48" t="s">
        <v>117</v>
      </c>
      <c r="C10" s="4">
        <v>24</v>
      </c>
      <c r="D10" s="15">
        <v>4</v>
      </c>
      <c r="E10" s="6">
        <v>0</v>
      </c>
      <c r="F10" s="7">
        <f t="shared" si="0"/>
        <v>-1</v>
      </c>
      <c r="G10" s="7">
        <f t="shared" si="1"/>
        <v>-4</v>
      </c>
      <c r="H10" s="8">
        <v>16.963043478260872</v>
      </c>
      <c r="I10" s="9">
        <v>390.15</v>
      </c>
      <c r="J10" s="56">
        <v>7</v>
      </c>
      <c r="K10" s="11">
        <v>0</v>
      </c>
      <c r="L10" s="12">
        <f t="shared" si="2"/>
        <v>-2.9012422360248387</v>
      </c>
      <c r="M10" s="7">
        <f t="shared" si="3"/>
        <v>-14.605318699873337</v>
      </c>
    </row>
    <row r="11" spans="1:14" x14ac:dyDescent="0.25">
      <c r="A11" s="2">
        <v>7</v>
      </c>
      <c r="B11" s="48" t="s">
        <v>120</v>
      </c>
      <c r="C11" s="4">
        <v>23</v>
      </c>
      <c r="D11" s="27">
        <v>5</v>
      </c>
      <c r="E11" s="6">
        <v>0</v>
      </c>
      <c r="F11" s="7">
        <f t="shared" si="0"/>
        <v>-1</v>
      </c>
      <c r="G11" s="7">
        <f t="shared" si="1"/>
        <v>-4.1666666666666661</v>
      </c>
      <c r="H11" s="8">
        <v>17.023809523809529</v>
      </c>
      <c r="I11" s="9">
        <v>357.5</v>
      </c>
      <c r="J11" s="57">
        <v>10</v>
      </c>
      <c r="K11" s="11">
        <v>0</v>
      </c>
      <c r="L11" s="12">
        <f t="shared" si="2"/>
        <v>6.0766045548657388E-2</v>
      </c>
      <c r="M11" s="7">
        <f t="shared" si="3"/>
        <v>0.3582260791026835</v>
      </c>
    </row>
    <row r="12" spans="1:14" x14ac:dyDescent="0.25">
      <c r="A12" s="2">
        <v>8</v>
      </c>
      <c r="B12" s="48" t="s">
        <v>122</v>
      </c>
      <c r="C12" s="4">
        <v>23</v>
      </c>
      <c r="D12" s="27">
        <v>5</v>
      </c>
      <c r="E12" s="6">
        <v>0</v>
      </c>
      <c r="F12" s="7">
        <f t="shared" si="0"/>
        <v>0</v>
      </c>
      <c r="G12" s="7">
        <f t="shared" si="1"/>
        <v>0</v>
      </c>
      <c r="H12" s="8">
        <v>17.75</v>
      </c>
      <c r="I12" s="9">
        <v>355</v>
      </c>
      <c r="J12" s="58">
        <v>11</v>
      </c>
      <c r="K12" s="11">
        <v>0</v>
      </c>
      <c r="L12" s="12">
        <f t="shared" si="2"/>
        <v>0.72619047619047095</v>
      </c>
      <c r="M12" s="7">
        <f t="shared" si="3"/>
        <v>4.265734265734233</v>
      </c>
    </row>
    <row r="13" spans="1:14" x14ac:dyDescent="0.25">
      <c r="A13" s="2">
        <v>9</v>
      </c>
      <c r="B13" s="48" t="s">
        <v>123</v>
      </c>
      <c r="C13" s="4">
        <v>22</v>
      </c>
      <c r="D13" s="17">
        <v>6</v>
      </c>
      <c r="E13" s="6">
        <v>0</v>
      </c>
      <c r="F13" s="7">
        <f t="shared" si="0"/>
        <v>-1</v>
      </c>
      <c r="G13" s="7">
        <f t="shared" si="1"/>
        <v>-4.3478260869565215</v>
      </c>
      <c r="H13" s="8">
        <v>16.297619047619051</v>
      </c>
      <c r="I13" s="9">
        <v>342.25</v>
      </c>
      <c r="J13" s="59">
        <v>16</v>
      </c>
      <c r="K13" s="11">
        <v>0</v>
      </c>
      <c r="L13" s="12">
        <f t="shared" si="2"/>
        <v>-1.452380952380949</v>
      </c>
      <c r="M13" s="7">
        <f t="shared" si="3"/>
        <v>-8.182427900737741</v>
      </c>
    </row>
    <row r="14" spans="1:14" x14ac:dyDescent="0.25">
      <c r="A14" s="2">
        <v>10</v>
      </c>
      <c r="B14" s="48" t="s">
        <v>119</v>
      </c>
      <c r="C14" s="4">
        <v>22</v>
      </c>
      <c r="D14" s="17">
        <v>6</v>
      </c>
      <c r="E14" s="6">
        <v>0</v>
      </c>
      <c r="F14" s="7">
        <f t="shared" si="0"/>
        <v>0</v>
      </c>
      <c r="G14" s="7">
        <f t="shared" si="1"/>
        <v>0</v>
      </c>
      <c r="H14" s="8">
        <v>18.309999999999999</v>
      </c>
      <c r="I14" s="9">
        <v>366.2</v>
      </c>
      <c r="J14" s="60">
        <v>9</v>
      </c>
      <c r="K14" s="11">
        <v>0</v>
      </c>
      <c r="L14" s="12">
        <f t="shared" si="2"/>
        <v>2.0123809523809477</v>
      </c>
      <c r="M14" s="7">
        <f t="shared" si="3"/>
        <v>12.347699050401722</v>
      </c>
    </row>
    <row r="15" spans="1:14" x14ac:dyDescent="0.25">
      <c r="A15" s="2">
        <v>11</v>
      </c>
      <c r="B15" s="48" t="s">
        <v>118</v>
      </c>
      <c r="C15" s="4">
        <v>21</v>
      </c>
      <c r="D15" s="21">
        <v>7</v>
      </c>
      <c r="E15" s="6">
        <v>0</v>
      </c>
      <c r="F15" s="7">
        <f t="shared" si="0"/>
        <v>-1</v>
      </c>
      <c r="G15" s="7">
        <f t="shared" si="1"/>
        <v>-4.5454545454545459</v>
      </c>
      <c r="H15" s="8">
        <v>20.68611111111111</v>
      </c>
      <c r="I15" s="9">
        <v>372.35</v>
      </c>
      <c r="J15" s="61">
        <v>8</v>
      </c>
      <c r="K15" s="11">
        <v>0</v>
      </c>
      <c r="L15" s="12">
        <f t="shared" si="2"/>
        <v>2.3761111111111113</v>
      </c>
      <c r="M15" s="7">
        <f t="shared" si="3"/>
        <v>12.977122398203777</v>
      </c>
    </row>
    <row r="16" spans="1:14" x14ac:dyDescent="0.25">
      <c r="A16" s="2">
        <v>12</v>
      </c>
      <c r="B16" s="48" t="s">
        <v>124</v>
      </c>
      <c r="C16" s="4">
        <v>21</v>
      </c>
      <c r="D16" s="21">
        <v>7</v>
      </c>
      <c r="E16" s="6">
        <v>0</v>
      </c>
      <c r="F16" s="7">
        <f t="shared" si="0"/>
        <v>0</v>
      </c>
      <c r="G16" s="7">
        <f t="shared" si="1"/>
        <v>0</v>
      </c>
      <c r="H16" s="8">
        <v>17.784210526315789</v>
      </c>
      <c r="I16" s="9">
        <v>337.9</v>
      </c>
      <c r="J16" s="62">
        <v>18</v>
      </c>
      <c r="K16" s="11">
        <v>0</v>
      </c>
      <c r="L16" s="12">
        <f t="shared" si="2"/>
        <v>-2.901900584795321</v>
      </c>
      <c r="M16" s="7">
        <f t="shared" si="3"/>
        <v>-14.028255814775287</v>
      </c>
    </row>
    <row r="17" spans="1:13" x14ac:dyDescent="0.25">
      <c r="A17" s="2">
        <v>13</v>
      </c>
      <c r="B17" s="48" t="s">
        <v>125</v>
      </c>
      <c r="C17" s="4">
        <v>20</v>
      </c>
      <c r="D17" s="23">
        <v>8</v>
      </c>
      <c r="E17" s="6">
        <v>0</v>
      </c>
      <c r="F17" s="7">
        <f t="shared" si="0"/>
        <v>-1</v>
      </c>
      <c r="G17" s="7">
        <f t="shared" si="1"/>
        <v>-4.7619047619047619</v>
      </c>
      <c r="H17" s="8">
        <v>16.8</v>
      </c>
      <c r="I17" s="9">
        <v>336</v>
      </c>
      <c r="J17" s="63">
        <v>19</v>
      </c>
      <c r="K17" s="11">
        <v>0</v>
      </c>
      <c r="L17" s="12">
        <f t="shared" si="2"/>
        <v>-0.98421052631578831</v>
      </c>
      <c r="M17" s="7">
        <f t="shared" si="3"/>
        <v>-5.5341817105652495</v>
      </c>
    </row>
    <row r="18" spans="1:13" x14ac:dyDescent="0.25">
      <c r="A18" s="2">
        <v>14</v>
      </c>
      <c r="B18" s="48" t="s">
        <v>126</v>
      </c>
      <c r="C18" s="4">
        <v>20</v>
      </c>
      <c r="D18" s="23">
        <v>8</v>
      </c>
      <c r="E18" s="6">
        <v>0</v>
      </c>
      <c r="F18" s="7">
        <f t="shared" si="0"/>
        <v>0</v>
      </c>
      <c r="G18" s="7">
        <f t="shared" si="1"/>
        <v>0</v>
      </c>
      <c r="H18" s="8">
        <v>18.460526315789469</v>
      </c>
      <c r="I18" s="9">
        <v>350.75</v>
      </c>
      <c r="J18" s="64">
        <v>13</v>
      </c>
      <c r="K18" s="11">
        <v>0</v>
      </c>
      <c r="L18" s="12">
        <f t="shared" si="2"/>
        <v>1.6605263157894683</v>
      </c>
      <c r="M18" s="7">
        <f t="shared" si="3"/>
        <v>9.8840852130325487</v>
      </c>
    </row>
    <row r="19" spans="1:13" x14ac:dyDescent="0.25">
      <c r="A19" s="2">
        <v>15</v>
      </c>
      <c r="B19" s="48" t="s">
        <v>127</v>
      </c>
      <c r="C19" s="4">
        <v>20</v>
      </c>
      <c r="D19" s="23">
        <v>8</v>
      </c>
      <c r="E19" s="6">
        <v>0</v>
      </c>
      <c r="F19" s="7">
        <f t="shared" si="0"/>
        <v>0</v>
      </c>
      <c r="G19" s="7">
        <f t="shared" si="1"/>
        <v>0</v>
      </c>
      <c r="H19" s="8">
        <v>18.45789473684211</v>
      </c>
      <c r="I19" s="9">
        <v>350.7</v>
      </c>
      <c r="J19" s="65">
        <v>14</v>
      </c>
      <c r="K19" s="11">
        <v>0</v>
      </c>
      <c r="L19" s="12">
        <f t="shared" si="2"/>
        <v>-2.6315789473585482E-3</v>
      </c>
      <c r="M19" s="7">
        <f t="shared" si="3"/>
        <v>-1.4255167498164627E-2</v>
      </c>
    </row>
    <row r="20" spans="1:13" x14ac:dyDescent="0.25">
      <c r="A20" s="2">
        <v>16</v>
      </c>
      <c r="B20" s="48" t="s">
        <v>128</v>
      </c>
      <c r="C20" s="4">
        <v>20</v>
      </c>
      <c r="D20" s="23">
        <v>8</v>
      </c>
      <c r="E20" s="6">
        <v>0</v>
      </c>
      <c r="F20" s="7">
        <f t="shared" si="0"/>
        <v>0</v>
      </c>
      <c r="G20" s="7">
        <f t="shared" si="1"/>
        <v>0</v>
      </c>
      <c r="H20" s="8">
        <v>18.118421052631579</v>
      </c>
      <c r="I20" s="9">
        <v>344.25</v>
      </c>
      <c r="J20" s="66">
        <v>15</v>
      </c>
      <c r="K20" s="11">
        <v>0</v>
      </c>
      <c r="L20" s="12">
        <f t="shared" si="2"/>
        <v>-0.3394736842105317</v>
      </c>
      <c r="M20" s="7">
        <f t="shared" si="3"/>
        <v>-1.8391787852865982</v>
      </c>
    </row>
    <row r="21" spans="1:13" x14ac:dyDescent="0.25">
      <c r="A21" s="2">
        <v>17</v>
      </c>
      <c r="B21" s="48" t="s">
        <v>129</v>
      </c>
      <c r="C21" s="4">
        <v>20</v>
      </c>
      <c r="D21" s="23">
        <v>8</v>
      </c>
      <c r="E21" s="6">
        <v>0</v>
      </c>
      <c r="F21" s="7">
        <f t="shared" si="0"/>
        <v>0</v>
      </c>
      <c r="G21" s="7">
        <f t="shared" si="1"/>
        <v>0</v>
      </c>
      <c r="H21" s="8">
        <v>20.055882352941179</v>
      </c>
      <c r="I21" s="9">
        <v>340.95</v>
      </c>
      <c r="J21" s="67">
        <v>17</v>
      </c>
      <c r="K21" s="11">
        <v>0</v>
      </c>
      <c r="L21" s="12">
        <f t="shared" si="2"/>
        <v>1.9374613003096002</v>
      </c>
      <c r="M21" s="7">
        <f t="shared" si="3"/>
        <v>10.69332308086635</v>
      </c>
    </row>
    <row r="22" spans="1:13" x14ac:dyDescent="0.25">
      <c r="A22" s="2">
        <v>18</v>
      </c>
      <c r="B22" s="48" t="s">
        <v>130</v>
      </c>
      <c r="C22" s="4">
        <v>20</v>
      </c>
      <c r="D22" s="23">
        <v>8</v>
      </c>
      <c r="E22" s="6">
        <v>0</v>
      </c>
      <c r="F22" s="7">
        <f t="shared" si="0"/>
        <v>0</v>
      </c>
      <c r="G22" s="7">
        <f t="shared" si="1"/>
        <v>0</v>
      </c>
      <c r="H22" s="8">
        <v>18.12777777777778</v>
      </c>
      <c r="I22" s="9">
        <v>326.3</v>
      </c>
      <c r="J22" s="68">
        <v>20</v>
      </c>
      <c r="K22" s="11">
        <v>0</v>
      </c>
      <c r="L22" s="12">
        <f t="shared" si="2"/>
        <v>-1.9281045751633989</v>
      </c>
      <c r="M22" s="7">
        <f t="shared" si="3"/>
        <v>-9.6136611754737569</v>
      </c>
    </row>
    <row r="23" spans="1:13" x14ac:dyDescent="0.25">
      <c r="A23" s="2">
        <v>19</v>
      </c>
      <c r="B23" s="48" t="s">
        <v>131</v>
      </c>
      <c r="C23" s="4">
        <v>20</v>
      </c>
      <c r="D23" s="23">
        <v>8</v>
      </c>
      <c r="E23" s="6">
        <v>0</v>
      </c>
      <c r="F23" s="7">
        <f t="shared" si="0"/>
        <v>0</v>
      </c>
      <c r="G23" s="7">
        <f t="shared" si="1"/>
        <v>0</v>
      </c>
      <c r="H23" s="8">
        <v>17.05263157894737</v>
      </c>
      <c r="I23" s="9">
        <v>324</v>
      </c>
      <c r="J23" s="69">
        <v>21</v>
      </c>
      <c r="K23" s="11">
        <v>0</v>
      </c>
      <c r="L23" s="12">
        <f t="shared" si="2"/>
        <v>-1.0751461988304101</v>
      </c>
      <c r="M23" s="7">
        <f t="shared" si="3"/>
        <v>-5.930932141877836</v>
      </c>
    </row>
    <row r="24" spans="1:13" x14ac:dyDescent="0.25">
      <c r="A24" s="2">
        <v>20</v>
      </c>
      <c r="B24" s="48" t="s">
        <v>132</v>
      </c>
      <c r="C24" s="4">
        <v>20</v>
      </c>
      <c r="D24" s="23">
        <v>8</v>
      </c>
      <c r="E24" s="6">
        <v>0</v>
      </c>
      <c r="F24" s="7">
        <f t="shared" si="0"/>
        <v>0</v>
      </c>
      <c r="G24" s="7">
        <f t="shared" si="1"/>
        <v>0</v>
      </c>
      <c r="H24" s="8">
        <v>16.839473684210521</v>
      </c>
      <c r="I24" s="9">
        <v>319.95</v>
      </c>
      <c r="J24" s="70">
        <v>23</v>
      </c>
      <c r="K24" s="11">
        <v>0</v>
      </c>
      <c r="L24" s="12">
        <f t="shared" si="2"/>
        <v>-0.21315789473684887</v>
      </c>
      <c r="M24" s="7">
        <f t="shared" si="3"/>
        <v>-1.2500000000000395</v>
      </c>
    </row>
    <row r="25" spans="1:13" x14ac:dyDescent="0.25">
      <c r="A25" s="2">
        <v>21</v>
      </c>
      <c r="B25" s="48" t="s">
        <v>133</v>
      </c>
      <c r="C25" s="4">
        <v>20</v>
      </c>
      <c r="D25" s="23">
        <v>8</v>
      </c>
      <c r="E25" s="6">
        <v>0</v>
      </c>
      <c r="F25" s="7">
        <f t="shared" si="0"/>
        <v>0</v>
      </c>
      <c r="G25" s="7">
        <f t="shared" si="1"/>
        <v>0</v>
      </c>
      <c r="H25" s="8">
        <v>17.62222222222222</v>
      </c>
      <c r="I25" s="9">
        <v>317.2</v>
      </c>
      <c r="J25" s="71">
        <v>25</v>
      </c>
      <c r="K25" s="11">
        <v>0</v>
      </c>
      <c r="L25" s="12">
        <f t="shared" si="2"/>
        <v>0.78274853801169897</v>
      </c>
      <c r="M25" s="7">
        <f t="shared" si="3"/>
        <v>4.6482957406539409</v>
      </c>
    </row>
    <row r="26" spans="1:13" x14ac:dyDescent="0.25">
      <c r="A26" s="2">
        <v>22</v>
      </c>
      <c r="B26" s="48" t="s">
        <v>134</v>
      </c>
      <c r="C26" s="4">
        <v>20</v>
      </c>
      <c r="D26" s="23">
        <v>8</v>
      </c>
      <c r="E26" s="6">
        <v>0</v>
      </c>
      <c r="F26" s="7">
        <f t="shared" si="0"/>
        <v>0</v>
      </c>
      <c r="G26" s="7">
        <f t="shared" si="1"/>
        <v>0</v>
      </c>
      <c r="H26" s="8">
        <v>15.55</v>
      </c>
      <c r="I26" s="9">
        <v>311</v>
      </c>
      <c r="J26" s="72">
        <v>27</v>
      </c>
      <c r="K26" s="11">
        <v>0</v>
      </c>
      <c r="L26" s="12">
        <f t="shared" si="2"/>
        <v>-2.0722222222222193</v>
      </c>
      <c r="M26" s="7">
        <f t="shared" si="3"/>
        <v>-11.759142496847399</v>
      </c>
    </row>
    <row r="27" spans="1:13" x14ac:dyDescent="0.25">
      <c r="A27" s="2">
        <v>23</v>
      </c>
      <c r="B27" s="48" t="s">
        <v>135</v>
      </c>
      <c r="C27" s="4">
        <v>19</v>
      </c>
      <c r="D27" s="25">
        <v>9</v>
      </c>
      <c r="E27" s="6">
        <v>0</v>
      </c>
      <c r="F27" s="7">
        <f t="shared" si="0"/>
        <v>-1</v>
      </c>
      <c r="G27" s="7">
        <f t="shared" si="1"/>
        <v>-5</v>
      </c>
      <c r="H27" s="8">
        <v>17.663888888888891</v>
      </c>
      <c r="I27" s="9">
        <v>317.95</v>
      </c>
      <c r="J27" s="73">
        <v>24</v>
      </c>
      <c r="K27" s="11">
        <v>0</v>
      </c>
      <c r="L27" s="12">
        <f t="shared" si="2"/>
        <v>2.1138888888888907</v>
      </c>
      <c r="M27" s="7">
        <f t="shared" si="3"/>
        <v>13.594140764558782</v>
      </c>
    </row>
    <row r="28" spans="1:13" x14ac:dyDescent="0.25">
      <c r="A28" s="2">
        <v>24</v>
      </c>
      <c r="B28" s="48" t="s">
        <v>136</v>
      </c>
      <c r="C28" s="4">
        <v>19</v>
      </c>
      <c r="D28" s="25">
        <v>9</v>
      </c>
      <c r="E28" s="6">
        <v>0</v>
      </c>
      <c r="F28" s="7">
        <f t="shared" si="0"/>
        <v>0</v>
      </c>
      <c r="G28" s="7">
        <f t="shared" si="1"/>
        <v>0</v>
      </c>
      <c r="H28" s="8">
        <v>16.539473684210531</v>
      </c>
      <c r="I28" s="9">
        <v>314.25</v>
      </c>
      <c r="J28" s="74">
        <v>26</v>
      </c>
      <c r="K28" s="11">
        <v>0</v>
      </c>
      <c r="L28" s="12">
        <f t="shared" si="2"/>
        <v>-1.1244152046783604</v>
      </c>
      <c r="M28" s="7">
        <f t="shared" si="3"/>
        <v>-6.3656152490047138</v>
      </c>
    </row>
    <row r="29" spans="1:13" x14ac:dyDescent="0.25">
      <c r="A29" s="2">
        <v>25</v>
      </c>
      <c r="B29" s="48" t="s">
        <v>137</v>
      </c>
      <c r="C29" s="4">
        <v>19</v>
      </c>
      <c r="D29" s="25">
        <v>9</v>
      </c>
      <c r="E29" s="6">
        <v>0</v>
      </c>
      <c r="F29" s="7">
        <f t="shared" si="0"/>
        <v>0</v>
      </c>
      <c r="G29" s="7">
        <f t="shared" si="1"/>
        <v>0</v>
      </c>
      <c r="H29" s="8">
        <v>15.881578947368419</v>
      </c>
      <c r="I29" s="9">
        <v>301.75</v>
      </c>
      <c r="J29" s="75">
        <v>33</v>
      </c>
      <c r="K29" s="11">
        <v>0</v>
      </c>
      <c r="L29" s="12">
        <f t="shared" si="2"/>
        <v>-0.65789473684211153</v>
      </c>
      <c r="M29" s="7">
        <f t="shared" si="3"/>
        <v>-3.9777247414479286</v>
      </c>
    </row>
    <row r="30" spans="1:13" x14ac:dyDescent="0.25">
      <c r="A30" s="2">
        <v>26</v>
      </c>
      <c r="B30" s="48" t="s">
        <v>138</v>
      </c>
      <c r="C30" s="4">
        <v>19</v>
      </c>
      <c r="D30" s="25">
        <v>9</v>
      </c>
      <c r="E30" s="6">
        <v>0</v>
      </c>
      <c r="F30" s="7">
        <f t="shared" si="0"/>
        <v>0</v>
      </c>
      <c r="G30" s="7">
        <f t="shared" si="1"/>
        <v>0</v>
      </c>
      <c r="H30" s="8">
        <v>15.72368421052632</v>
      </c>
      <c r="I30" s="9">
        <v>298.75</v>
      </c>
      <c r="J30" s="76">
        <v>36</v>
      </c>
      <c r="K30" s="11">
        <v>0</v>
      </c>
      <c r="L30" s="12">
        <f t="shared" si="2"/>
        <v>-0.15789473684209909</v>
      </c>
      <c r="M30" s="7">
        <f t="shared" si="3"/>
        <v>-0.99420049710020975</v>
      </c>
    </row>
    <row r="31" spans="1:13" x14ac:dyDescent="0.25">
      <c r="A31" s="2">
        <v>27</v>
      </c>
      <c r="B31" s="48" t="s">
        <v>139</v>
      </c>
      <c r="C31" s="4">
        <v>19</v>
      </c>
      <c r="D31" s="25">
        <v>9</v>
      </c>
      <c r="E31" s="6">
        <v>0</v>
      </c>
      <c r="F31" s="7">
        <f t="shared" si="0"/>
        <v>0</v>
      </c>
      <c r="G31" s="7">
        <f t="shared" si="1"/>
        <v>0</v>
      </c>
      <c r="H31" s="8">
        <v>16.422222222222221</v>
      </c>
      <c r="I31" s="9">
        <v>295.60000000000002</v>
      </c>
      <c r="J31" s="77">
        <v>38</v>
      </c>
      <c r="K31" s="11">
        <v>0</v>
      </c>
      <c r="L31" s="12">
        <f t="shared" si="2"/>
        <v>0.69853801169590035</v>
      </c>
      <c r="M31" s="7">
        <f t="shared" si="3"/>
        <v>4.4425848442584446</v>
      </c>
    </row>
    <row r="32" spans="1:13" x14ac:dyDescent="0.25">
      <c r="A32" s="2">
        <v>28</v>
      </c>
      <c r="B32" s="48" t="s">
        <v>140</v>
      </c>
      <c r="C32" s="4">
        <v>19</v>
      </c>
      <c r="D32" s="25">
        <v>9</v>
      </c>
      <c r="E32" s="6">
        <v>0</v>
      </c>
      <c r="F32" s="7">
        <f t="shared" si="0"/>
        <v>0</v>
      </c>
      <c r="G32" s="7">
        <f t="shared" si="1"/>
        <v>0</v>
      </c>
      <c r="H32" s="8">
        <v>15.952777777777779</v>
      </c>
      <c r="I32" s="9">
        <v>287.14999999999998</v>
      </c>
      <c r="J32" s="78">
        <v>42</v>
      </c>
      <c r="K32" s="11">
        <v>0</v>
      </c>
      <c r="L32" s="12">
        <f t="shared" si="2"/>
        <v>-0.46944444444444144</v>
      </c>
      <c r="M32" s="7">
        <f t="shared" si="3"/>
        <v>-2.8585926928281284</v>
      </c>
    </row>
    <row r="33" spans="1:13" x14ac:dyDescent="0.25">
      <c r="A33" s="2">
        <v>29</v>
      </c>
      <c r="B33" s="48" t="s">
        <v>141</v>
      </c>
      <c r="C33" s="4">
        <v>19</v>
      </c>
      <c r="D33" s="25">
        <v>9</v>
      </c>
      <c r="E33" s="6">
        <v>0</v>
      </c>
      <c r="F33" s="7">
        <f t="shared" si="0"/>
        <v>0</v>
      </c>
      <c r="G33" s="7">
        <f t="shared" si="1"/>
        <v>0</v>
      </c>
      <c r="H33" s="8">
        <v>21.978124999999999</v>
      </c>
      <c r="I33" s="9">
        <v>351.65</v>
      </c>
      <c r="J33" s="79">
        <v>12</v>
      </c>
      <c r="K33" s="11">
        <v>0</v>
      </c>
      <c r="L33" s="12">
        <f t="shared" si="2"/>
        <v>6.0253472222222193</v>
      </c>
      <c r="M33" s="7">
        <f t="shared" si="3"/>
        <v>37.769893783736705</v>
      </c>
    </row>
    <row r="34" spans="1:13" x14ac:dyDescent="0.25">
      <c r="A34" s="2">
        <v>30</v>
      </c>
      <c r="B34" s="48" t="s">
        <v>142</v>
      </c>
      <c r="C34" s="4">
        <v>19</v>
      </c>
      <c r="D34" s="25">
        <v>9</v>
      </c>
      <c r="E34" s="6">
        <v>0</v>
      </c>
      <c r="F34" s="7">
        <f t="shared" si="0"/>
        <v>0</v>
      </c>
      <c r="G34" s="7">
        <f t="shared" si="1"/>
        <v>0</v>
      </c>
      <c r="H34" s="8">
        <v>16.391176470588231</v>
      </c>
      <c r="I34" s="9">
        <v>278.64999999999998</v>
      </c>
      <c r="J34" s="80">
        <v>45</v>
      </c>
      <c r="K34" s="11">
        <v>0</v>
      </c>
      <c r="L34" s="12">
        <f t="shared" si="2"/>
        <v>-5.5869485294117673</v>
      </c>
      <c r="M34" s="7">
        <f t="shared" si="3"/>
        <v>-25.420496650245493</v>
      </c>
    </row>
    <row r="35" spans="1:13" x14ac:dyDescent="0.25">
      <c r="A35" s="2">
        <v>31</v>
      </c>
      <c r="B35" s="48" t="s">
        <v>143</v>
      </c>
      <c r="C35" s="4">
        <v>19</v>
      </c>
      <c r="D35" s="25">
        <v>9</v>
      </c>
      <c r="E35" s="6">
        <v>0</v>
      </c>
      <c r="F35" s="7">
        <f t="shared" si="0"/>
        <v>0</v>
      </c>
      <c r="G35" s="7">
        <f t="shared" si="1"/>
        <v>0</v>
      </c>
      <c r="H35" s="8">
        <v>17.777777777777779</v>
      </c>
      <c r="I35" s="9">
        <v>320</v>
      </c>
      <c r="J35" s="81">
        <v>22</v>
      </c>
      <c r="K35" s="11">
        <v>0</v>
      </c>
      <c r="L35" s="12">
        <f t="shared" si="2"/>
        <v>1.3866013071895473</v>
      </c>
      <c r="M35" s="7">
        <f t="shared" si="3"/>
        <v>8.4594373666686913</v>
      </c>
    </row>
    <row r="36" spans="1:13" x14ac:dyDescent="0.25">
      <c r="A36" s="2">
        <v>32</v>
      </c>
      <c r="B36" s="48" t="s">
        <v>144</v>
      </c>
      <c r="C36" s="4">
        <v>18</v>
      </c>
      <c r="D36" s="30">
        <v>10</v>
      </c>
      <c r="E36" s="6">
        <v>0</v>
      </c>
      <c r="F36" s="7">
        <f t="shared" si="0"/>
        <v>-1</v>
      </c>
      <c r="G36" s="7">
        <f t="shared" si="1"/>
        <v>-5.2631578947368416</v>
      </c>
      <c r="H36" s="8">
        <v>16.455882352941181</v>
      </c>
      <c r="I36" s="9">
        <v>279.75</v>
      </c>
      <c r="J36" s="82">
        <v>44</v>
      </c>
      <c r="K36" s="11">
        <v>0</v>
      </c>
      <c r="L36" s="12">
        <f t="shared" si="2"/>
        <v>-1.3218954248365975</v>
      </c>
      <c r="M36" s="7">
        <f t="shared" si="3"/>
        <v>-7.43566176470586</v>
      </c>
    </row>
    <row r="37" spans="1:13" x14ac:dyDescent="0.25">
      <c r="A37" s="2">
        <v>33</v>
      </c>
      <c r="B37" s="48" t="s">
        <v>145</v>
      </c>
      <c r="C37" s="4">
        <v>18</v>
      </c>
      <c r="D37" s="30">
        <v>10</v>
      </c>
      <c r="E37" s="6">
        <v>0</v>
      </c>
      <c r="F37" s="7">
        <f t="shared" si="0"/>
        <v>0</v>
      </c>
      <c r="G37" s="7">
        <f t="shared" si="1"/>
        <v>0</v>
      </c>
      <c r="H37" s="8">
        <v>16.652777777777779</v>
      </c>
      <c r="I37" s="9">
        <v>299.75</v>
      </c>
      <c r="J37" s="83">
        <v>34</v>
      </c>
      <c r="K37" s="11">
        <v>0</v>
      </c>
      <c r="L37" s="12">
        <f t="shared" si="2"/>
        <v>0.1968954248365975</v>
      </c>
      <c r="M37" s="7">
        <f t="shared" si="3"/>
        <v>1.1965048158077414</v>
      </c>
    </row>
    <row r="38" spans="1:13" x14ac:dyDescent="0.25">
      <c r="A38" s="2">
        <v>34</v>
      </c>
      <c r="B38" s="48" t="s">
        <v>146</v>
      </c>
      <c r="C38" s="4">
        <v>18</v>
      </c>
      <c r="D38" s="30">
        <v>10</v>
      </c>
      <c r="E38" s="6">
        <v>0</v>
      </c>
      <c r="F38" s="7">
        <f t="shared" si="0"/>
        <v>0</v>
      </c>
      <c r="G38" s="7">
        <f t="shared" si="1"/>
        <v>0</v>
      </c>
      <c r="H38" s="8">
        <v>18.725000000000001</v>
      </c>
      <c r="I38" s="9">
        <v>299.60000000000002</v>
      </c>
      <c r="J38" s="84">
        <v>35</v>
      </c>
      <c r="K38" s="11">
        <v>0</v>
      </c>
      <c r="L38" s="12">
        <f t="shared" si="2"/>
        <v>2.0722222222222229</v>
      </c>
      <c r="M38" s="7">
        <f t="shared" si="3"/>
        <v>12.443703085904923</v>
      </c>
    </row>
    <row r="39" spans="1:13" x14ac:dyDescent="0.25">
      <c r="A39" s="2">
        <v>35</v>
      </c>
      <c r="B39" s="48" t="s">
        <v>147</v>
      </c>
      <c r="C39" s="4">
        <v>18</v>
      </c>
      <c r="D39" s="30">
        <v>10</v>
      </c>
      <c r="E39" s="6">
        <v>0</v>
      </c>
      <c r="F39" s="7">
        <f t="shared" si="0"/>
        <v>0</v>
      </c>
      <c r="G39" s="7">
        <f t="shared" si="1"/>
        <v>0</v>
      </c>
      <c r="H39" s="8">
        <v>16.852941176470591</v>
      </c>
      <c r="I39" s="9">
        <v>286.5</v>
      </c>
      <c r="J39" s="85">
        <v>43</v>
      </c>
      <c r="K39" s="11">
        <v>0</v>
      </c>
      <c r="L39" s="12">
        <f t="shared" si="2"/>
        <v>-1.8720588235294109</v>
      </c>
      <c r="M39" s="7">
        <f t="shared" si="3"/>
        <v>-9.9976439173800316</v>
      </c>
    </row>
    <row r="40" spans="1:13" x14ac:dyDescent="0.25">
      <c r="A40" s="2">
        <v>36</v>
      </c>
      <c r="B40" s="48" t="s">
        <v>148</v>
      </c>
      <c r="C40" s="4">
        <v>18</v>
      </c>
      <c r="D40" s="30">
        <v>10</v>
      </c>
      <c r="E40" s="6">
        <v>0</v>
      </c>
      <c r="F40" s="7">
        <f t="shared" si="0"/>
        <v>0</v>
      </c>
      <c r="G40" s="7">
        <f t="shared" si="1"/>
        <v>0</v>
      </c>
      <c r="H40" s="8">
        <v>18.65625</v>
      </c>
      <c r="I40" s="9">
        <v>298.5</v>
      </c>
      <c r="J40" s="86">
        <v>37</v>
      </c>
      <c r="K40" s="11">
        <v>0</v>
      </c>
      <c r="L40" s="12">
        <f t="shared" si="2"/>
        <v>1.8033088235294095</v>
      </c>
      <c r="M40" s="7">
        <f t="shared" si="3"/>
        <v>10.700261780104697</v>
      </c>
    </row>
    <row r="41" spans="1:13" x14ac:dyDescent="0.25">
      <c r="A41" s="2">
        <v>37</v>
      </c>
      <c r="B41" s="48" t="s">
        <v>149</v>
      </c>
      <c r="C41" s="4">
        <v>18</v>
      </c>
      <c r="D41" s="30">
        <v>10</v>
      </c>
      <c r="E41" s="6">
        <v>0</v>
      </c>
      <c r="F41" s="7">
        <f t="shared" si="0"/>
        <v>0</v>
      </c>
      <c r="G41" s="7">
        <f t="shared" si="1"/>
        <v>0</v>
      </c>
      <c r="H41" s="8">
        <v>15.47222222222222</v>
      </c>
      <c r="I41" s="9">
        <v>278.5</v>
      </c>
      <c r="J41" s="87">
        <v>46</v>
      </c>
      <c r="K41" s="11">
        <v>0</v>
      </c>
      <c r="L41" s="12">
        <f t="shared" si="2"/>
        <v>-3.1840277777777803</v>
      </c>
      <c r="M41" s="7">
        <f t="shared" si="3"/>
        <v>-17.066815559277885</v>
      </c>
    </row>
    <row r="42" spans="1:13" x14ac:dyDescent="0.25">
      <c r="A42" s="2">
        <v>38</v>
      </c>
      <c r="B42" s="48" t="s">
        <v>150</v>
      </c>
      <c r="C42" s="4">
        <v>18</v>
      </c>
      <c r="D42" s="30">
        <v>10</v>
      </c>
      <c r="E42" s="6">
        <v>0</v>
      </c>
      <c r="F42" s="7">
        <f t="shared" si="0"/>
        <v>0</v>
      </c>
      <c r="G42" s="7">
        <f t="shared" si="1"/>
        <v>0</v>
      </c>
      <c r="H42" s="8">
        <v>17.329411764705881</v>
      </c>
      <c r="I42" s="9">
        <v>294.60000000000002</v>
      </c>
      <c r="J42" s="88">
        <v>39</v>
      </c>
      <c r="K42" s="11">
        <v>0</v>
      </c>
      <c r="L42" s="12">
        <f t="shared" si="2"/>
        <v>1.8571895424836615</v>
      </c>
      <c r="M42" s="7">
        <f t="shared" si="3"/>
        <v>12.003379448727438</v>
      </c>
    </row>
    <row r="43" spans="1:13" x14ac:dyDescent="0.25">
      <c r="A43" s="2">
        <v>39</v>
      </c>
      <c r="B43" s="48" t="s">
        <v>151</v>
      </c>
      <c r="C43" s="4">
        <v>18</v>
      </c>
      <c r="D43" s="30">
        <v>10</v>
      </c>
      <c r="E43" s="6">
        <v>0</v>
      </c>
      <c r="F43" s="7">
        <f t="shared" si="0"/>
        <v>0</v>
      </c>
      <c r="G43" s="7">
        <f t="shared" si="1"/>
        <v>0</v>
      </c>
      <c r="H43" s="8">
        <v>16.31388888888889</v>
      </c>
      <c r="I43" s="9">
        <v>293.64999999999998</v>
      </c>
      <c r="J43" s="89">
        <v>40</v>
      </c>
      <c r="K43" s="11">
        <v>0</v>
      </c>
      <c r="L43" s="12">
        <f t="shared" si="2"/>
        <v>-1.0155228758169912</v>
      </c>
      <c r="M43" s="7">
        <f t="shared" si="3"/>
        <v>-5.8601116391340291</v>
      </c>
    </row>
    <row r="44" spans="1:13" x14ac:dyDescent="0.25">
      <c r="A44" s="2">
        <v>40</v>
      </c>
      <c r="B44" s="48" t="s">
        <v>152</v>
      </c>
      <c r="C44" s="4">
        <v>18</v>
      </c>
      <c r="D44" s="30">
        <v>10</v>
      </c>
      <c r="E44" s="6">
        <v>0</v>
      </c>
      <c r="F44" s="7">
        <f t="shared" si="0"/>
        <v>0</v>
      </c>
      <c r="G44" s="7">
        <f t="shared" si="1"/>
        <v>0</v>
      </c>
      <c r="H44" s="8">
        <v>16.9375</v>
      </c>
      <c r="I44" s="9">
        <v>271</v>
      </c>
      <c r="J44" s="90">
        <v>47</v>
      </c>
      <c r="K44" s="11">
        <v>0</v>
      </c>
      <c r="L44" s="12">
        <f t="shared" si="2"/>
        <v>0.62361111111111001</v>
      </c>
      <c r="M44" s="7">
        <f t="shared" si="3"/>
        <v>3.8225778988591794</v>
      </c>
    </row>
    <row r="45" spans="1:13" x14ac:dyDescent="0.25">
      <c r="A45" s="2">
        <v>41</v>
      </c>
      <c r="B45" s="48" t="s">
        <v>153</v>
      </c>
      <c r="C45" s="4">
        <v>18</v>
      </c>
      <c r="D45" s="30">
        <v>10</v>
      </c>
      <c r="E45" s="6">
        <v>0</v>
      </c>
      <c r="F45" s="7">
        <f t="shared" si="0"/>
        <v>0</v>
      </c>
      <c r="G45" s="7">
        <f t="shared" si="1"/>
        <v>0</v>
      </c>
      <c r="H45" s="8">
        <v>16.997058823529411</v>
      </c>
      <c r="I45" s="9">
        <v>288.95</v>
      </c>
      <c r="J45" s="91">
        <v>41</v>
      </c>
      <c r="K45" s="11">
        <v>0</v>
      </c>
      <c r="L45" s="12">
        <f t="shared" si="2"/>
        <v>5.9558823529410887E-2</v>
      </c>
      <c r="M45" s="7">
        <f t="shared" si="3"/>
        <v>0.35163881050574691</v>
      </c>
    </row>
    <row r="46" spans="1:13" x14ac:dyDescent="0.25">
      <c r="A46" s="2">
        <v>42</v>
      </c>
      <c r="B46" s="48" t="s">
        <v>154</v>
      </c>
      <c r="C46" s="4">
        <v>18</v>
      </c>
      <c r="D46" s="30">
        <v>10</v>
      </c>
      <c r="E46" s="6">
        <v>0</v>
      </c>
      <c r="F46" s="7">
        <f t="shared" si="0"/>
        <v>0</v>
      </c>
      <c r="G46" s="7">
        <f t="shared" si="1"/>
        <v>0</v>
      </c>
      <c r="H46" s="8">
        <v>17.309999999999999</v>
      </c>
      <c r="I46" s="9">
        <v>259.64999999999998</v>
      </c>
      <c r="J46" s="35">
        <v>48</v>
      </c>
      <c r="K46" s="11">
        <v>0</v>
      </c>
      <c r="L46" s="12">
        <f t="shared" si="2"/>
        <v>0.31294117647058783</v>
      </c>
      <c r="M46" s="7">
        <f t="shared" si="3"/>
        <v>1.8411489877141352</v>
      </c>
    </row>
    <row r="47" spans="1:13" x14ac:dyDescent="0.25">
      <c r="A47" s="2">
        <v>43</v>
      </c>
      <c r="B47" s="48" t="s">
        <v>155</v>
      </c>
      <c r="C47" s="4">
        <v>18</v>
      </c>
      <c r="D47" s="30">
        <v>10</v>
      </c>
      <c r="E47" s="6">
        <v>0</v>
      </c>
      <c r="F47" s="7">
        <f t="shared" si="0"/>
        <v>0</v>
      </c>
      <c r="G47" s="7">
        <f t="shared" si="1"/>
        <v>0</v>
      </c>
      <c r="H47" s="8">
        <v>19.40625</v>
      </c>
      <c r="I47" s="9">
        <v>310.5</v>
      </c>
      <c r="J47" s="92">
        <v>28</v>
      </c>
      <c r="K47" s="11">
        <v>0</v>
      </c>
      <c r="L47" s="12">
        <f t="shared" si="2"/>
        <v>2.0962500000000013</v>
      </c>
      <c r="M47" s="7">
        <f t="shared" si="3"/>
        <v>12.1100519930676</v>
      </c>
    </row>
    <row r="48" spans="1:13" x14ac:dyDescent="0.25">
      <c r="A48" s="2">
        <v>44</v>
      </c>
      <c r="B48" s="48" t="s">
        <v>156</v>
      </c>
      <c r="C48" s="4">
        <v>18</v>
      </c>
      <c r="D48" s="30">
        <v>10</v>
      </c>
      <c r="E48" s="6">
        <v>0</v>
      </c>
      <c r="F48" s="7">
        <f t="shared" si="0"/>
        <v>0</v>
      </c>
      <c r="G48" s="7">
        <f t="shared" si="1"/>
        <v>0</v>
      </c>
      <c r="H48" s="8">
        <v>17.019444444444449</v>
      </c>
      <c r="I48" s="9">
        <v>306.35000000000002</v>
      </c>
      <c r="J48" s="93">
        <v>29</v>
      </c>
      <c r="K48" s="11">
        <v>0</v>
      </c>
      <c r="L48" s="12">
        <f t="shared" si="2"/>
        <v>-2.3868055555555507</v>
      </c>
      <c r="M48" s="7">
        <f t="shared" si="3"/>
        <v>-12.299159062444062</v>
      </c>
    </row>
    <row r="49" spans="1:13" x14ac:dyDescent="0.25">
      <c r="A49" s="2">
        <v>45</v>
      </c>
      <c r="B49" s="48" t="s">
        <v>157</v>
      </c>
      <c r="C49" s="4">
        <v>18</v>
      </c>
      <c r="D49" s="30">
        <v>10</v>
      </c>
      <c r="E49" s="6">
        <v>0</v>
      </c>
      <c r="F49" s="7">
        <f t="shared" si="0"/>
        <v>0</v>
      </c>
      <c r="G49" s="7">
        <f t="shared" si="1"/>
        <v>0</v>
      </c>
      <c r="H49" s="8">
        <v>19.125</v>
      </c>
      <c r="I49" s="9">
        <v>306</v>
      </c>
      <c r="J49" s="94">
        <v>30</v>
      </c>
      <c r="K49" s="11">
        <v>0</v>
      </c>
      <c r="L49" s="12">
        <f t="shared" si="2"/>
        <v>2.1055555555555507</v>
      </c>
      <c r="M49" s="7">
        <f t="shared" si="3"/>
        <v>12.37147054023173</v>
      </c>
    </row>
    <row r="50" spans="1:13" x14ac:dyDescent="0.25">
      <c r="A50" s="2">
        <v>46</v>
      </c>
      <c r="B50" s="48" t="s">
        <v>158</v>
      </c>
      <c r="C50" s="4">
        <v>18</v>
      </c>
      <c r="D50" s="30">
        <v>10</v>
      </c>
      <c r="E50" s="6">
        <v>0</v>
      </c>
      <c r="F50" s="7">
        <f t="shared" si="0"/>
        <v>0</v>
      </c>
      <c r="G50" s="7">
        <f t="shared" si="1"/>
        <v>0</v>
      </c>
      <c r="H50" s="8">
        <v>16.958333333333329</v>
      </c>
      <c r="I50" s="9">
        <v>305.25</v>
      </c>
      <c r="J50" s="95">
        <v>31</v>
      </c>
      <c r="K50" s="11">
        <v>0</v>
      </c>
      <c r="L50" s="12">
        <f t="shared" si="2"/>
        <v>-2.1666666666666714</v>
      </c>
      <c r="M50" s="7">
        <f t="shared" si="3"/>
        <v>-11.328976034858412</v>
      </c>
    </row>
    <row r="51" spans="1:13" ht="18.75" x14ac:dyDescent="0.3">
      <c r="A51" s="2">
        <v>47</v>
      </c>
      <c r="B51" s="48" t="s">
        <v>159</v>
      </c>
      <c r="C51" s="29">
        <f>SUBTOTAL(9,C4:C50)</f>
        <v>952</v>
      </c>
      <c r="D51" s="30">
        <v>10</v>
      </c>
      <c r="E51" s="31">
        <f>SUBTOTAL(9,E4:E50)</f>
        <v>0</v>
      </c>
      <c r="F51" s="32">
        <f>SUBTOTAL(9,F4:F50)</f>
        <v>-10</v>
      </c>
      <c r="G51" s="32">
        <f>SUBTOTAL(9,G4:G50)</f>
        <v>-43.063845934555317</v>
      </c>
      <c r="H51" s="33">
        <f>SUBTOTAL(9,H4:H50)</f>
        <v>827.15578554896422</v>
      </c>
      <c r="I51" s="34">
        <f>SUBTOTAL(9,I4:I50)</f>
        <v>15520.550000000001</v>
      </c>
      <c r="J51" s="96">
        <v>32</v>
      </c>
      <c r="K51" s="31">
        <f>SUBTOTAL(9,K4:K50)</f>
        <v>0</v>
      </c>
      <c r="L51" s="36">
        <f>SUBTOTAL(9,L4:L50)</f>
        <v>-4.1940476190476197</v>
      </c>
      <c r="M51" s="32">
        <f>SUBTOTAL(9,M4:M50)</f>
        <v>6.3701567543980087</v>
      </c>
    </row>
  </sheetData>
  <autoFilter ref="A3:M50" xr:uid="{00000000-0009-0000-0000-000014000000}"/>
  <mergeCells count="1">
    <mergeCell ref="A1:N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160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110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8" t="s">
        <v>147</v>
      </c>
      <c r="C4" s="4">
        <v>18</v>
      </c>
      <c r="D4" s="30">
        <v>10</v>
      </c>
      <c r="E4" s="6">
        <v>0</v>
      </c>
      <c r="F4" s="7" t="str">
        <f t="shared" ref="F4:F50" si="0">IF(ROW()=4,"",C4-C3)</f>
        <v/>
      </c>
      <c r="G4" s="7" t="str">
        <f t="shared" ref="G4:G50" si="1">IF(ROW()=4,"",(C4-C3)/C3*100)</f>
        <v/>
      </c>
      <c r="H4" s="8">
        <v>16.852941176470591</v>
      </c>
      <c r="I4" s="9">
        <v>286.5</v>
      </c>
      <c r="J4" s="85">
        <v>43</v>
      </c>
      <c r="K4" s="11">
        <v>0</v>
      </c>
      <c r="L4" s="12" t="str">
        <f t="shared" ref="L4:L50" si="2">IF(ROW()=4,"",H4-H3)</f>
        <v/>
      </c>
      <c r="M4" s="7" t="str">
        <f t="shared" ref="M4:M50" si="3">IF(ROW()=4,"",(H4-H3)/H3*100)</f>
        <v/>
      </c>
    </row>
    <row r="5" spans="1:14" x14ac:dyDescent="0.25">
      <c r="A5" s="2">
        <v>1</v>
      </c>
      <c r="B5" s="48" t="s">
        <v>120</v>
      </c>
      <c r="C5" s="4">
        <v>23</v>
      </c>
      <c r="D5" s="27">
        <v>5</v>
      </c>
      <c r="E5" s="6">
        <v>0</v>
      </c>
      <c r="F5" s="7">
        <f t="shared" si="0"/>
        <v>5</v>
      </c>
      <c r="G5" s="7">
        <f t="shared" si="1"/>
        <v>27.777777777777779</v>
      </c>
      <c r="H5" s="8">
        <v>17.023809523809529</v>
      </c>
      <c r="I5" s="9">
        <v>357.5</v>
      </c>
      <c r="J5" s="57">
        <v>10</v>
      </c>
      <c r="K5" s="11">
        <v>0</v>
      </c>
      <c r="L5" s="12">
        <f t="shared" si="2"/>
        <v>0.17086834733893852</v>
      </c>
      <c r="M5" s="7">
        <f t="shared" si="3"/>
        <v>1.0138785007895128</v>
      </c>
    </row>
    <row r="6" spans="1:14" x14ac:dyDescent="0.25">
      <c r="A6" s="2">
        <v>2</v>
      </c>
      <c r="B6" s="48" t="s">
        <v>151</v>
      </c>
      <c r="C6" s="4">
        <v>18</v>
      </c>
      <c r="D6" s="30">
        <v>10</v>
      </c>
      <c r="E6" s="6">
        <v>0</v>
      </c>
      <c r="F6" s="7">
        <f t="shared" si="0"/>
        <v>-5</v>
      </c>
      <c r="G6" s="7">
        <f t="shared" si="1"/>
        <v>-21.739130434782609</v>
      </c>
      <c r="H6" s="8">
        <v>16.31388888888889</v>
      </c>
      <c r="I6" s="9">
        <v>293.64999999999998</v>
      </c>
      <c r="J6" s="89">
        <v>40</v>
      </c>
      <c r="K6" s="11">
        <v>0</v>
      </c>
      <c r="L6" s="12">
        <f t="shared" si="2"/>
        <v>-0.70992063492063906</v>
      </c>
      <c r="M6" s="7">
        <f t="shared" si="3"/>
        <v>-4.1701631701631925</v>
      </c>
    </row>
    <row r="7" spans="1:14" x14ac:dyDescent="0.25">
      <c r="A7" s="2">
        <v>3</v>
      </c>
      <c r="B7" s="48" t="s">
        <v>123</v>
      </c>
      <c r="C7" s="4">
        <v>22</v>
      </c>
      <c r="D7" s="17">
        <v>6</v>
      </c>
      <c r="E7" s="6">
        <v>0</v>
      </c>
      <c r="F7" s="7">
        <f t="shared" si="0"/>
        <v>4</v>
      </c>
      <c r="G7" s="7">
        <f t="shared" si="1"/>
        <v>22.222222222222221</v>
      </c>
      <c r="H7" s="8">
        <v>16.297619047619051</v>
      </c>
      <c r="I7" s="9">
        <v>342.25</v>
      </c>
      <c r="J7" s="59">
        <v>16</v>
      </c>
      <c r="K7" s="11">
        <v>0</v>
      </c>
      <c r="L7" s="12">
        <f t="shared" si="2"/>
        <v>-1.6269841269838992E-2</v>
      </c>
      <c r="M7" s="7">
        <f t="shared" si="3"/>
        <v>-9.9729999270254333E-2</v>
      </c>
    </row>
    <row r="8" spans="1:14" x14ac:dyDescent="0.25">
      <c r="A8" s="2">
        <v>4</v>
      </c>
      <c r="B8" s="48" t="s">
        <v>116</v>
      </c>
      <c r="C8" s="4">
        <v>25</v>
      </c>
      <c r="D8" s="13">
        <v>3</v>
      </c>
      <c r="E8" s="6">
        <v>0</v>
      </c>
      <c r="F8" s="7">
        <f t="shared" si="0"/>
        <v>3</v>
      </c>
      <c r="G8" s="7">
        <f t="shared" si="1"/>
        <v>13.636363636363635</v>
      </c>
      <c r="H8" s="8">
        <v>16.322916666666671</v>
      </c>
      <c r="I8" s="9">
        <v>391.75</v>
      </c>
      <c r="J8" s="53">
        <v>6</v>
      </c>
      <c r="K8" s="11">
        <v>0</v>
      </c>
      <c r="L8" s="12">
        <f t="shared" si="2"/>
        <v>2.5297619047620401E-2</v>
      </c>
      <c r="M8" s="7">
        <f t="shared" si="3"/>
        <v>0.15522279035793377</v>
      </c>
    </row>
    <row r="9" spans="1:14" x14ac:dyDescent="0.25">
      <c r="A9" s="2">
        <v>5</v>
      </c>
      <c r="B9" s="48" t="s">
        <v>139</v>
      </c>
      <c r="C9" s="4">
        <v>19</v>
      </c>
      <c r="D9" s="25">
        <v>9</v>
      </c>
      <c r="E9" s="6">
        <v>0</v>
      </c>
      <c r="F9" s="7">
        <f t="shared" si="0"/>
        <v>-6</v>
      </c>
      <c r="G9" s="7">
        <f t="shared" si="1"/>
        <v>-24</v>
      </c>
      <c r="H9" s="8">
        <v>16.422222222222221</v>
      </c>
      <c r="I9" s="9">
        <v>295.60000000000002</v>
      </c>
      <c r="J9" s="77">
        <v>38</v>
      </c>
      <c r="K9" s="11">
        <v>0</v>
      </c>
      <c r="L9" s="12">
        <f t="shared" si="2"/>
        <v>9.9305555555549319E-2</v>
      </c>
      <c r="M9" s="7">
        <f t="shared" si="3"/>
        <v>0.6083811954902828</v>
      </c>
    </row>
    <row r="10" spans="1:14" x14ac:dyDescent="0.25">
      <c r="A10" s="2">
        <v>6</v>
      </c>
      <c r="B10" s="48" t="s">
        <v>124</v>
      </c>
      <c r="C10" s="4">
        <v>21</v>
      </c>
      <c r="D10" s="21">
        <v>7</v>
      </c>
      <c r="E10" s="6">
        <v>0</v>
      </c>
      <c r="F10" s="7">
        <f t="shared" si="0"/>
        <v>2</v>
      </c>
      <c r="G10" s="7">
        <f t="shared" si="1"/>
        <v>10.526315789473683</v>
      </c>
      <c r="H10" s="8">
        <v>17.784210526315789</v>
      </c>
      <c r="I10" s="9">
        <v>337.9</v>
      </c>
      <c r="J10" s="62">
        <v>18</v>
      </c>
      <c r="K10" s="11">
        <v>0</v>
      </c>
      <c r="L10" s="12">
        <f t="shared" si="2"/>
        <v>1.3619883040935683</v>
      </c>
      <c r="M10" s="7">
        <f t="shared" si="3"/>
        <v>8.2935688341286298</v>
      </c>
    </row>
    <row r="11" spans="1:14" x14ac:dyDescent="0.25">
      <c r="A11" s="2">
        <v>7</v>
      </c>
      <c r="B11" s="48" t="s">
        <v>119</v>
      </c>
      <c r="C11" s="4">
        <v>22</v>
      </c>
      <c r="D11" s="17">
        <v>6</v>
      </c>
      <c r="E11" s="6">
        <v>0</v>
      </c>
      <c r="F11" s="7">
        <f t="shared" si="0"/>
        <v>1</v>
      </c>
      <c r="G11" s="7">
        <f t="shared" si="1"/>
        <v>4.7619047619047619</v>
      </c>
      <c r="H11" s="8">
        <v>18.309999999999999</v>
      </c>
      <c r="I11" s="9">
        <v>366.2</v>
      </c>
      <c r="J11" s="60">
        <v>9</v>
      </c>
      <c r="K11" s="11">
        <v>0</v>
      </c>
      <c r="L11" s="12">
        <f t="shared" si="2"/>
        <v>0.5257894736842097</v>
      </c>
      <c r="M11" s="7">
        <f t="shared" si="3"/>
        <v>2.9564960047351243</v>
      </c>
    </row>
    <row r="12" spans="1:14" x14ac:dyDescent="0.25">
      <c r="A12" s="2">
        <v>8</v>
      </c>
      <c r="B12" s="48" t="s">
        <v>156</v>
      </c>
      <c r="C12" s="4">
        <v>18</v>
      </c>
      <c r="D12" s="30">
        <v>10</v>
      </c>
      <c r="E12" s="6">
        <v>0</v>
      </c>
      <c r="F12" s="7">
        <f t="shared" si="0"/>
        <v>-4</v>
      </c>
      <c r="G12" s="7">
        <f t="shared" si="1"/>
        <v>-18.181818181818183</v>
      </c>
      <c r="H12" s="8">
        <v>17.019444444444449</v>
      </c>
      <c r="I12" s="9">
        <v>306.35000000000002</v>
      </c>
      <c r="J12" s="93">
        <v>29</v>
      </c>
      <c r="K12" s="11">
        <v>0</v>
      </c>
      <c r="L12" s="12">
        <f t="shared" si="2"/>
        <v>-1.2905555555555495</v>
      </c>
      <c r="M12" s="7">
        <f t="shared" si="3"/>
        <v>-7.0483645852296535</v>
      </c>
    </row>
    <row r="13" spans="1:14" x14ac:dyDescent="0.25">
      <c r="A13" s="2">
        <v>9</v>
      </c>
      <c r="B13" s="48" t="s">
        <v>146</v>
      </c>
      <c r="C13" s="4">
        <v>18</v>
      </c>
      <c r="D13" s="30">
        <v>10</v>
      </c>
      <c r="E13" s="6">
        <v>0</v>
      </c>
      <c r="F13" s="7">
        <f t="shared" si="0"/>
        <v>0</v>
      </c>
      <c r="G13" s="7">
        <f t="shared" si="1"/>
        <v>0</v>
      </c>
      <c r="H13" s="8">
        <v>18.725000000000001</v>
      </c>
      <c r="I13" s="9">
        <v>299.60000000000002</v>
      </c>
      <c r="J13" s="84">
        <v>35</v>
      </c>
      <c r="K13" s="11">
        <v>0</v>
      </c>
      <c r="L13" s="12">
        <f t="shared" si="2"/>
        <v>1.7055555555555522</v>
      </c>
      <c r="M13" s="7">
        <f t="shared" si="3"/>
        <v>10.021217561612513</v>
      </c>
    </row>
    <row r="14" spans="1:14" x14ac:dyDescent="0.25">
      <c r="A14" s="2">
        <v>10</v>
      </c>
      <c r="B14" s="48" t="s">
        <v>112</v>
      </c>
      <c r="C14" s="4">
        <v>28</v>
      </c>
      <c r="D14" s="19">
        <v>1</v>
      </c>
      <c r="E14" s="6">
        <v>0</v>
      </c>
      <c r="F14" s="7">
        <f t="shared" si="0"/>
        <v>10</v>
      </c>
      <c r="G14" s="7">
        <f t="shared" si="1"/>
        <v>55.555555555555557</v>
      </c>
      <c r="H14" s="8">
        <v>21.152380952380948</v>
      </c>
      <c r="I14" s="9">
        <v>444.2</v>
      </c>
      <c r="J14" s="51">
        <v>2</v>
      </c>
      <c r="K14" s="11">
        <v>0</v>
      </c>
      <c r="L14" s="12">
        <f t="shared" si="2"/>
        <v>2.4273809523809469</v>
      </c>
      <c r="M14" s="7">
        <f t="shared" si="3"/>
        <v>12.963316167588502</v>
      </c>
    </row>
    <row r="15" spans="1:14" x14ac:dyDescent="0.25">
      <c r="A15" s="2">
        <v>11</v>
      </c>
      <c r="B15" s="48" t="s">
        <v>117</v>
      </c>
      <c r="C15" s="4">
        <v>24</v>
      </c>
      <c r="D15" s="15">
        <v>4</v>
      </c>
      <c r="E15" s="6">
        <v>0</v>
      </c>
      <c r="F15" s="7">
        <f t="shared" si="0"/>
        <v>-4</v>
      </c>
      <c r="G15" s="7">
        <f t="shared" si="1"/>
        <v>-14.285714285714285</v>
      </c>
      <c r="H15" s="8">
        <v>16.963043478260872</v>
      </c>
      <c r="I15" s="9">
        <v>390.15</v>
      </c>
      <c r="J15" s="56">
        <v>7</v>
      </c>
      <c r="K15" s="11">
        <v>0</v>
      </c>
      <c r="L15" s="12">
        <f t="shared" si="2"/>
        <v>-4.1893374741200766</v>
      </c>
      <c r="M15" s="7">
        <f t="shared" si="3"/>
        <v>-19.805512597145796</v>
      </c>
    </row>
    <row r="16" spans="1:14" x14ac:dyDescent="0.25">
      <c r="A16" s="2">
        <v>12</v>
      </c>
      <c r="B16" s="48" t="s">
        <v>132</v>
      </c>
      <c r="C16" s="4">
        <v>20</v>
      </c>
      <c r="D16" s="23">
        <v>8</v>
      </c>
      <c r="E16" s="6">
        <v>0</v>
      </c>
      <c r="F16" s="7">
        <f t="shared" si="0"/>
        <v>-4</v>
      </c>
      <c r="G16" s="7">
        <f t="shared" si="1"/>
        <v>-16.666666666666664</v>
      </c>
      <c r="H16" s="8">
        <v>16.839473684210521</v>
      </c>
      <c r="I16" s="9">
        <v>319.95</v>
      </c>
      <c r="J16" s="70">
        <v>23</v>
      </c>
      <c r="K16" s="11">
        <v>0</v>
      </c>
      <c r="L16" s="12">
        <f t="shared" si="2"/>
        <v>-0.12356979405035062</v>
      </c>
      <c r="M16" s="7">
        <f t="shared" si="3"/>
        <v>-0.7284647605172534</v>
      </c>
    </row>
    <row r="17" spans="1:13" x14ac:dyDescent="0.25">
      <c r="A17" s="2">
        <v>13</v>
      </c>
      <c r="B17" s="48" t="s">
        <v>111</v>
      </c>
      <c r="C17" s="4">
        <v>27</v>
      </c>
      <c r="D17" s="5">
        <v>2</v>
      </c>
      <c r="E17" s="6">
        <v>0</v>
      </c>
      <c r="F17" s="7">
        <f t="shared" si="0"/>
        <v>7</v>
      </c>
      <c r="G17" s="7">
        <f t="shared" si="1"/>
        <v>35</v>
      </c>
      <c r="H17" s="8">
        <v>17.7</v>
      </c>
      <c r="I17" s="9">
        <v>460.2</v>
      </c>
      <c r="J17" s="10">
        <v>1</v>
      </c>
      <c r="K17" s="11">
        <v>0</v>
      </c>
      <c r="L17" s="12">
        <f t="shared" si="2"/>
        <v>0.86052631578947825</v>
      </c>
      <c r="M17" s="7">
        <f t="shared" si="3"/>
        <v>5.1101734646038732</v>
      </c>
    </row>
    <row r="18" spans="1:13" x14ac:dyDescent="0.25">
      <c r="A18" s="2">
        <v>14</v>
      </c>
      <c r="B18" s="48" t="s">
        <v>157</v>
      </c>
      <c r="C18" s="4">
        <v>18</v>
      </c>
      <c r="D18" s="30">
        <v>10</v>
      </c>
      <c r="E18" s="6">
        <v>0</v>
      </c>
      <c r="F18" s="7">
        <f t="shared" si="0"/>
        <v>-9</v>
      </c>
      <c r="G18" s="7">
        <f t="shared" si="1"/>
        <v>-33.333333333333329</v>
      </c>
      <c r="H18" s="8">
        <v>19.125</v>
      </c>
      <c r="I18" s="9">
        <v>306</v>
      </c>
      <c r="J18" s="94">
        <v>30</v>
      </c>
      <c r="K18" s="11">
        <v>0</v>
      </c>
      <c r="L18" s="12">
        <f t="shared" si="2"/>
        <v>1.4250000000000007</v>
      </c>
      <c r="M18" s="7">
        <f t="shared" si="3"/>
        <v>8.0508474576271229</v>
      </c>
    </row>
    <row r="19" spans="1:13" x14ac:dyDescent="0.25">
      <c r="A19" s="2">
        <v>15</v>
      </c>
      <c r="B19" s="48" t="s">
        <v>153</v>
      </c>
      <c r="C19" s="4">
        <v>18</v>
      </c>
      <c r="D19" s="30">
        <v>10</v>
      </c>
      <c r="E19" s="6">
        <v>0</v>
      </c>
      <c r="F19" s="7">
        <f t="shared" si="0"/>
        <v>0</v>
      </c>
      <c r="G19" s="7">
        <f t="shared" si="1"/>
        <v>0</v>
      </c>
      <c r="H19" s="8">
        <v>16.997058823529411</v>
      </c>
      <c r="I19" s="9">
        <v>288.95</v>
      </c>
      <c r="J19" s="91">
        <v>41</v>
      </c>
      <c r="K19" s="11">
        <v>0</v>
      </c>
      <c r="L19" s="12">
        <f t="shared" si="2"/>
        <v>-2.1279411764705891</v>
      </c>
      <c r="M19" s="7">
        <f t="shared" si="3"/>
        <v>-11.126489811610924</v>
      </c>
    </row>
    <row r="20" spans="1:13" x14ac:dyDescent="0.25">
      <c r="A20" s="2">
        <v>16</v>
      </c>
      <c r="B20" s="48" t="s">
        <v>135</v>
      </c>
      <c r="C20" s="4">
        <v>19</v>
      </c>
      <c r="D20" s="25">
        <v>9</v>
      </c>
      <c r="E20" s="6">
        <v>0</v>
      </c>
      <c r="F20" s="7">
        <f t="shared" si="0"/>
        <v>1</v>
      </c>
      <c r="G20" s="7">
        <f t="shared" si="1"/>
        <v>5.5555555555555554</v>
      </c>
      <c r="H20" s="8">
        <v>17.663888888888891</v>
      </c>
      <c r="I20" s="9">
        <v>317.95</v>
      </c>
      <c r="J20" s="73">
        <v>24</v>
      </c>
      <c r="K20" s="11">
        <v>0</v>
      </c>
      <c r="L20" s="12">
        <f t="shared" si="2"/>
        <v>0.66683006535948053</v>
      </c>
      <c r="M20" s="7">
        <f t="shared" si="3"/>
        <v>3.9232085520370892</v>
      </c>
    </row>
    <row r="21" spans="1:13" x14ac:dyDescent="0.25">
      <c r="A21" s="2">
        <v>17</v>
      </c>
      <c r="B21" s="48" t="s">
        <v>131</v>
      </c>
      <c r="C21" s="4">
        <v>20</v>
      </c>
      <c r="D21" s="23">
        <v>8</v>
      </c>
      <c r="E21" s="6">
        <v>0</v>
      </c>
      <c r="F21" s="7">
        <f t="shared" si="0"/>
        <v>1</v>
      </c>
      <c r="G21" s="7">
        <f t="shared" si="1"/>
        <v>5.2631578947368416</v>
      </c>
      <c r="H21" s="8">
        <v>17.05263157894737</v>
      </c>
      <c r="I21" s="9">
        <v>324</v>
      </c>
      <c r="J21" s="69">
        <v>21</v>
      </c>
      <c r="K21" s="11">
        <v>0</v>
      </c>
      <c r="L21" s="12">
        <f t="shared" si="2"/>
        <v>-0.6112573099415215</v>
      </c>
      <c r="M21" s="7">
        <f t="shared" si="3"/>
        <v>-3.460491139785308</v>
      </c>
    </row>
    <row r="22" spans="1:13" x14ac:dyDescent="0.25">
      <c r="A22" s="2">
        <v>18</v>
      </c>
      <c r="B22" s="48" t="s">
        <v>152</v>
      </c>
      <c r="C22" s="4">
        <v>18</v>
      </c>
      <c r="D22" s="30">
        <v>10</v>
      </c>
      <c r="E22" s="6">
        <v>0</v>
      </c>
      <c r="F22" s="7">
        <f t="shared" si="0"/>
        <v>-2</v>
      </c>
      <c r="G22" s="7">
        <f t="shared" si="1"/>
        <v>-10</v>
      </c>
      <c r="H22" s="8">
        <v>16.9375</v>
      </c>
      <c r="I22" s="9">
        <v>271</v>
      </c>
      <c r="J22" s="90">
        <v>47</v>
      </c>
      <c r="K22" s="11">
        <v>0</v>
      </c>
      <c r="L22" s="12">
        <f t="shared" si="2"/>
        <v>-0.11513157894736992</v>
      </c>
      <c r="M22" s="7">
        <f t="shared" si="3"/>
        <v>-0.67515432098766304</v>
      </c>
    </row>
    <row r="23" spans="1:13" x14ac:dyDescent="0.25">
      <c r="A23" s="2">
        <v>19</v>
      </c>
      <c r="B23" s="48" t="s">
        <v>115</v>
      </c>
      <c r="C23" s="4">
        <v>25</v>
      </c>
      <c r="D23" s="13">
        <v>3</v>
      </c>
      <c r="E23" s="6">
        <v>0</v>
      </c>
      <c r="F23" s="7">
        <f t="shared" si="0"/>
        <v>7</v>
      </c>
      <c r="G23" s="7">
        <f t="shared" si="1"/>
        <v>38.888888888888893</v>
      </c>
      <c r="H23" s="8">
        <v>17.423913043478262</v>
      </c>
      <c r="I23" s="9">
        <v>400.75</v>
      </c>
      <c r="J23" s="52">
        <v>5</v>
      </c>
      <c r="K23" s="11">
        <v>0</v>
      </c>
      <c r="L23" s="12">
        <f t="shared" si="2"/>
        <v>0.48641304347826164</v>
      </c>
      <c r="M23" s="7">
        <f t="shared" si="3"/>
        <v>2.8718113268089249</v>
      </c>
    </row>
    <row r="24" spans="1:13" x14ac:dyDescent="0.25">
      <c r="A24" s="2">
        <v>20</v>
      </c>
      <c r="B24" s="48" t="s">
        <v>113</v>
      </c>
      <c r="C24" s="4">
        <v>25</v>
      </c>
      <c r="D24" s="13">
        <v>3</v>
      </c>
      <c r="E24" s="6">
        <v>0</v>
      </c>
      <c r="F24" s="7">
        <f t="shared" si="0"/>
        <v>0</v>
      </c>
      <c r="G24" s="7">
        <f t="shared" si="1"/>
        <v>0</v>
      </c>
      <c r="H24" s="8">
        <v>18.25</v>
      </c>
      <c r="I24" s="9">
        <v>419.75</v>
      </c>
      <c r="J24" s="54">
        <v>3</v>
      </c>
      <c r="K24" s="11">
        <v>0</v>
      </c>
      <c r="L24" s="12">
        <f t="shared" si="2"/>
        <v>0.82608695652173836</v>
      </c>
      <c r="M24" s="7">
        <f t="shared" si="3"/>
        <v>4.7411104179663086</v>
      </c>
    </row>
    <row r="25" spans="1:13" x14ac:dyDescent="0.25">
      <c r="A25" s="2">
        <v>21</v>
      </c>
      <c r="B25" s="48" t="s">
        <v>149</v>
      </c>
      <c r="C25" s="4">
        <v>18</v>
      </c>
      <c r="D25" s="30">
        <v>10</v>
      </c>
      <c r="E25" s="6">
        <v>0</v>
      </c>
      <c r="F25" s="7">
        <f t="shared" si="0"/>
        <v>-7</v>
      </c>
      <c r="G25" s="7">
        <f t="shared" si="1"/>
        <v>-28.000000000000004</v>
      </c>
      <c r="H25" s="8">
        <v>15.47222222222222</v>
      </c>
      <c r="I25" s="9">
        <v>278.5</v>
      </c>
      <c r="J25" s="87">
        <v>46</v>
      </c>
      <c r="K25" s="11">
        <v>0</v>
      </c>
      <c r="L25" s="12">
        <f t="shared" si="2"/>
        <v>-2.7777777777777803</v>
      </c>
      <c r="M25" s="7">
        <f t="shared" si="3"/>
        <v>-15.220700152207014</v>
      </c>
    </row>
    <row r="26" spans="1:13" x14ac:dyDescent="0.25">
      <c r="A26" s="2">
        <v>22</v>
      </c>
      <c r="B26" s="48" t="s">
        <v>137</v>
      </c>
      <c r="C26" s="4">
        <v>19</v>
      </c>
      <c r="D26" s="25">
        <v>9</v>
      </c>
      <c r="E26" s="6">
        <v>0</v>
      </c>
      <c r="F26" s="7">
        <f t="shared" si="0"/>
        <v>1</v>
      </c>
      <c r="G26" s="7">
        <f t="shared" si="1"/>
        <v>5.5555555555555554</v>
      </c>
      <c r="H26" s="8">
        <v>15.881578947368419</v>
      </c>
      <c r="I26" s="9">
        <v>301.75</v>
      </c>
      <c r="J26" s="75">
        <v>33</v>
      </c>
      <c r="K26" s="11">
        <v>0</v>
      </c>
      <c r="L26" s="12">
        <f t="shared" si="2"/>
        <v>0.40935672514619981</v>
      </c>
      <c r="M26" s="7">
        <f t="shared" si="3"/>
        <v>2.6457526221298378</v>
      </c>
    </row>
    <row r="27" spans="1:13" x14ac:dyDescent="0.25">
      <c r="A27" s="2">
        <v>23</v>
      </c>
      <c r="B27" s="48" t="s">
        <v>141</v>
      </c>
      <c r="C27" s="4">
        <v>19</v>
      </c>
      <c r="D27" s="25">
        <v>9</v>
      </c>
      <c r="E27" s="6">
        <v>0</v>
      </c>
      <c r="F27" s="7">
        <f t="shared" si="0"/>
        <v>0</v>
      </c>
      <c r="G27" s="7">
        <f t="shared" si="1"/>
        <v>0</v>
      </c>
      <c r="H27" s="8">
        <v>21.978124999999999</v>
      </c>
      <c r="I27" s="9">
        <v>351.65</v>
      </c>
      <c r="J27" s="79">
        <v>12</v>
      </c>
      <c r="K27" s="11">
        <v>0</v>
      </c>
      <c r="L27" s="12">
        <f t="shared" si="2"/>
        <v>6.0965460526315791</v>
      </c>
      <c r="M27" s="7">
        <f t="shared" si="3"/>
        <v>38.38753106876554</v>
      </c>
    </row>
    <row r="28" spans="1:13" x14ac:dyDescent="0.25">
      <c r="A28" s="2">
        <v>24</v>
      </c>
      <c r="B28" s="48" t="s">
        <v>154</v>
      </c>
      <c r="C28" s="4">
        <v>18</v>
      </c>
      <c r="D28" s="30">
        <v>10</v>
      </c>
      <c r="E28" s="6">
        <v>0</v>
      </c>
      <c r="F28" s="7">
        <f t="shared" si="0"/>
        <v>-1</v>
      </c>
      <c r="G28" s="7">
        <f t="shared" si="1"/>
        <v>-5.2631578947368416</v>
      </c>
      <c r="H28" s="8">
        <v>17.309999999999999</v>
      </c>
      <c r="I28" s="9">
        <v>259.64999999999998</v>
      </c>
      <c r="J28" s="35">
        <v>48</v>
      </c>
      <c r="K28" s="11">
        <v>0</v>
      </c>
      <c r="L28" s="12">
        <f t="shared" si="2"/>
        <v>-4.6681249999999999</v>
      </c>
      <c r="M28" s="7">
        <f t="shared" si="3"/>
        <v>-21.239869188113182</v>
      </c>
    </row>
    <row r="29" spans="1:13" x14ac:dyDescent="0.25">
      <c r="A29" s="2">
        <v>25</v>
      </c>
      <c r="B29" s="48" t="s">
        <v>142</v>
      </c>
      <c r="C29" s="4">
        <v>19</v>
      </c>
      <c r="D29" s="25">
        <v>9</v>
      </c>
      <c r="E29" s="6">
        <v>0</v>
      </c>
      <c r="F29" s="7">
        <f t="shared" si="0"/>
        <v>1</v>
      </c>
      <c r="G29" s="7">
        <f t="shared" si="1"/>
        <v>5.5555555555555554</v>
      </c>
      <c r="H29" s="8">
        <v>16.391176470588231</v>
      </c>
      <c r="I29" s="9">
        <v>278.64999999999998</v>
      </c>
      <c r="J29" s="80">
        <v>45</v>
      </c>
      <c r="K29" s="11">
        <v>0</v>
      </c>
      <c r="L29" s="12">
        <f t="shared" si="2"/>
        <v>-0.91882352941176748</v>
      </c>
      <c r="M29" s="7">
        <f t="shared" si="3"/>
        <v>-5.3080504298773405</v>
      </c>
    </row>
    <row r="30" spans="1:13" x14ac:dyDescent="0.25">
      <c r="A30" s="2">
        <v>26</v>
      </c>
      <c r="B30" s="48" t="s">
        <v>118</v>
      </c>
      <c r="C30" s="4">
        <v>21</v>
      </c>
      <c r="D30" s="21">
        <v>7</v>
      </c>
      <c r="E30" s="6">
        <v>0</v>
      </c>
      <c r="F30" s="7">
        <f t="shared" si="0"/>
        <v>2</v>
      </c>
      <c r="G30" s="7">
        <f t="shared" si="1"/>
        <v>10.526315789473683</v>
      </c>
      <c r="H30" s="8">
        <v>20.68611111111111</v>
      </c>
      <c r="I30" s="9">
        <v>372.35</v>
      </c>
      <c r="J30" s="61">
        <v>8</v>
      </c>
      <c r="K30" s="11">
        <v>0</v>
      </c>
      <c r="L30" s="12">
        <f t="shared" si="2"/>
        <v>4.2949346405228788</v>
      </c>
      <c r="M30" s="7">
        <f t="shared" si="3"/>
        <v>26.202723448372133</v>
      </c>
    </row>
    <row r="31" spans="1:13" x14ac:dyDescent="0.25">
      <c r="A31" s="2">
        <v>27</v>
      </c>
      <c r="B31" s="48" t="s">
        <v>129</v>
      </c>
      <c r="C31" s="4">
        <v>20</v>
      </c>
      <c r="D31" s="23">
        <v>8</v>
      </c>
      <c r="E31" s="6">
        <v>0</v>
      </c>
      <c r="F31" s="7">
        <f t="shared" si="0"/>
        <v>-1</v>
      </c>
      <c r="G31" s="7">
        <f t="shared" si="1"/>
        <v>-4.7619047619047619</v>
      </c>
      <c r="H31" s="8">
        <v>20.055882352941179</v>
      </c>
      <c r="I31" s="9">
        <v>340.95</v>
      </c>
      <c r="J31" s="67">
        <v>17</v>
      </c>
      <c r="K31" s="11">
        <v>0</v>
      </c>
      <c r="L31" s="12">
        <f t="shared" si="2"/>
        <v>-0.63022875816993107</v>
      </c>
      <c r="M31" s="7">
        <f t="shared" si="3"/>
        <v>-3.0466275405018823</v>
      </c>
    </row>
    <row r="32" spans="1:13" x14ac:dyDescent="0.25">
      <c r="A32" s="2">
        <v>28</v>
      </c>
      <c r="B32" s="48" t="s">
        <v>126</v>
      </c>
      <c r="C32" s="4">
        <v>20</v>
      </c>
      <c r="D32" s="23">
        <v>8</v>
      </c>
      <c r="E32" s="6">
        <v>0</v>
      </c>
      <c r="F32" s="7">
        <f t="shared" si="0"/>
        <v>0</v>
      </c>
      <c r="G32" s="7">
        <f t="shared" si="1"/>
        <v>0</v>
      </c>
      <c r="H32" s="8">
        <v>18.460526315789469</v>
      </c>
      <c r="I32" s="9">
        <v>350.75</v>
      </c>
      <c r="J32" s="64">
        <v>13</v>
      </c>
      <c r="K32" s="11">
        <v>0</v>
      </c>
      <c r="L32" s="12">
        <f t="shared" si="2"/>
        <v>-1.5953560371517099</v>
      </c>
      <c r="M32" s="7">
        <f t="shared" si="3"/>
        <v>-7.9545542254228083</v>
      </c>
    </row>
    <row r="33" spans="1:13" x14ac:dyDescent="0.25">
      <c r="A33" s="2">
        <v>29</v>
      </c>
      <c r="B33" s="48" t="s">
        <v>125</v>
      </c>
      <c r="C33" s="4">
        <v>20</v>
      </c>
      <c r="D33" s="23">
        <v>8</v>
      </c>
      <c r="E33" s="6">
        <v>0</v>
      </c>
      <c r="F33" s="7">
        <f t="shared" si="0"/>
        <v>0</v>
      </c>
      <c r="G33" s="7">
        <f t="shared" si="1"/>
        <v>0</v>
      </c>
      <c r="H33" s="8">
        <v>16.8</v>
      </c>
      <c r="I33" s="9">
        <v>336</v>
      </c>
      <c r="J33" s="63">
        <v>19</v>
      </c>
      <c r="K33" s="11">
        <v>0</v>
      </c>
      <c r="L33" s="12">
        <f t="shared" si="2"/>
        <v>-1.6605263157894683</v>
      </c>
      <c r="M33" s="7">
        <f t="shared" si="3"/>
        <v>-8.9950106913755956</v>
      </c>
    </row>
    <row r="34" spans="1:13" x14ac:dyDescent="0.25">
      <c r="A34" s="2">
        <v>30</v>
      </c>
      <c r="B34" s="48" t="s">
        <v>140</v>
      </c>
      <c r="C34" s="4">
        <v>19</v>
      </c>
      <c r="D34" s="25">
        <v>9</v>
      </c>
      <c r="E34" s="6">
        <v>0</v>
      </c>
      <c r="F34" s="7">
        <f t="shared" si="0"/>
        <v>-1</v>
      </c>
      <c r="G34" s="7">
        <f t="shared" si="1"/>
        <v>-5</v>
      </c>
      <c r="H34" s="8">
        <v>15.952777777777779</v>
      </c>
      <c r="I34" s="9">
        <v>287.14999999999998</v>
      </c>
      <c r="J34" s="78">
        <v>42</v>
      </c>
      <c r="K34" s="11">
        <v>0</v>
      </c>
      <c r="L34" s="12">
        <f t="shared" si="2"/>
        <v>-0.84722222222222143</v>
      </c>
      <c r="M34" s="7">
        <f t="shared" si="3"/>
        <v>-5.0429894179894132</v>
      </c>
    </row>
    <row r="35" spans="1:13" x14ac:dyDescent="0.25">
      <c r="A35" s="2">
        <v>31</v>
      </c>
      <c r="B35" s="48" t="s">
        <v>144</v>
      </c>
      <c r="C35" s="4">
        <v>18</v>
      </c>
      <c r="D35" s="30">
        <v>10</v>
      </c>
      <c r="E35" s="6">
        <v>0</v>
      </c>
      <c r="F35" s="7">
        <f t="shared" si="0"/>
        <v>-1</v>
      </c>
      <c r="G35" s="7">
        <f t="shared" si="1"/>
        <v>-5.2631578947368416</v>
      </c>
      <c r="H35" s="8">
        <v>16.455882352941181</v>
      </c>
      <c r="I35" s="9">
        <v>279.75</v>
      </c>
      <c r="J35" s="82">
        <v>44</v>
      </c>
      <c r="K35" s="11">
        <v>0</v>
      </c>
      <c r="L35" s="12">
        <f t="shared" si="2"/>
        <v>0.50310457516340179</v>
      </c>
      <c r="M35" s="7">
        <f t="shared" si="3"/>
        <v>3.1537114236257118</v>
      </c>
    </row>
    <row r="36" spans="1:13" x14ac:dyDescent="0.25">
      <c r="A36" s="2">
        <v>32</v>
      </c>
      <c r="B36" s="48" t="s">
        <v>138</v>
      </c>
      <c r="C36" s="4">
        <v>19</v>
      </c>
      <c r="D36" s="25">
        <v>9</v>
      </c>
      <c r="E36" s="6">
        <v>0</v>
      </c>
      <c r="F36" s="7">
        <f t="shared" si="0"/>
        <v>1</v>
      </c>
      <c r="G36" s="7">
        <f t="shared" si="1"/>
        <v>5.5555555555555554</v>
      </c>
      <c r="H36" s="8">
        <v>15.72368421052632</v>
      </c>
      <c r="I36" s="9">
        <v>298.75</v>
      </c>
      <c r="J36" s="76">
        <v>36</v>
      </c>
      <c r="K36" s="11">
        <v>0</v>
      </c>
      <c r="L36" s="12">
        <f t="shared" si="2"/>
        <v>-0.7321981424148607</v>
      </c>
      <c r="M36" s="7">
        <f t="shared" si="3"/>
        <v>-4.4494614552466949</v>
      </c>
    </row>
    <row r="37" spans="1:13" x14ac:dyDescent="0.25">
      <c r="A37" s="2">
        <v>33</v>
      </c>
      <c r="B37" s="48" t="s">
        <v>133</v>
      </c>
      <c r="C37" s="4">
        <v>20</v>
      </c>
      <c r="D37" s="23">
        <v>8</v>
      </c>
      <c r="E37" s="6">
        <v>0</v>
      </c>
      <c r="F37" s="7">
        <f t="shared" si="0"/>
        <v>1</v>
      </c>
      <c r="G37" s="7">
        <f t="shared" si="1"/>
        <v>5.2631578947368416</v>
      </c>
      <c r="H37" s="8">
        <v>17.62222222222222</v>
      </c>
      <c r="I37" s="9">
        <v>317.2</v>
      </c>
      <c r="J37" s="71">
        <v>25</v>
      </c>
      <c r="K37" s="11">
        <v>0</v>
      </c>
      <c r="L37" s="12">
        <f t="shared" si="2"/>
        <v>1.8985380116958996</v>
      </c>
      <c r="M37" s="7">
        <f t="shared" si="3"/>
        <v>12.074384007438354</v>
      </c>
    </row>
    <row r="38" spans="1:13" x14ac:dyDescent="0.25">
      <c r="A38" s="2">
        <v>34</v>
      </c>
      <c r="B38" s="48" t="s">
        <v>150</v>
      </c>
      <c r="C38" s="4">
        <v>18</v>
      </c>
      <c r="D38" s="30">
        <v>10</v>
      </c>
      <c r="E38" s="6">
        <v>0</v>
      </c>
      <c r="F38" s="7">
        <f t="shared" si="0"/>
        <v>-2</v>
      </c>
      <c r="G38" s="7">
        <f t="shared" si="1"/>
        <v>-10</v>
      </c>
      <c r="H38" s="8">
        <v>17.329411764705881</v>
      </c>
      <c r="I38" s="9">
        <v>294.60000000000002</v>
      </c>
      <c r="J38" s="88">
        <v>39</v>
      </c>
      <c r="K38" s="11">
        <v>0</v>
      </c>
      <c r="L38" s="12">
        <f t="shared" si="2"/>
        <v>-0.29281045751633883</v>
      </c>
      <c r="M38" s="7">
        <f t="shared" si="3"/>
        <v>-1.6615978043171813</v>
      </c>
    </row>
    <row r="39" spans="1:13" x14ac:dyDescent="0.25">
      <c r="A39" s="2">
        <v>35</v>
      </c>
      <c r="B39" s="48" t="s">
        <v>158</v>
      </c>
      <c r="C39" s="4">
        <v>18</v>
      </c>
      <c r="D39" s="30">
        <v>10</v>
      </c>
      <c r="E39" s="6">
        <v>0</v>
      </c>
      <c r="F39" s="7">
        <f t="shared" si="0"/>
        <v>0</v>
      </c>
      <c r="G39" s="7">
        <f t="shared" si="1"/>
        <v>0</v>
      </c>
      <c r="H39" s="8">
        <v>16.958333333333329</v>
      </c>
      <c r="I39" s="9">
        <v>305.25</v>
      </c>
      <c r="J39" s="95">
        <v>31</v>
      </c>
      <c r="K39" s="11">
        <v>0</v>
      </c>
      <c r="L39" s="12">
        <f t="shared" si="2"/>
        <v>-0.37107843137255259</v>
      </c>
      <c r="M39" s="7">
        <f t="shared" si="3"/>
        <v>-2.1413215659651712</v>
      </c>
    </row>
    <row r="40" spans="1:13" x14ac:dyDescent="0.25">
      <c r="A40" s="2">
        <v>36</v>
      </c>
      <c r="B40" s="48" t="s">
        <v>136</v>
      </c>
      <c r="C40" s="4">
        <v>19</v>
      </c>
      <c r="D40" s="25">
        <v>9</v>
      </c>
      <c r="E40" s="6">
        <v>0</v>
      </c>
      <c r="F40" s="7">
        <f t="shared" si="0"/>
        <v>1</v>
      </c>
      <c r="G40" s="7">
        <f t="shared" si="1"/>
        <v>5.5555555555555554</v>
      </c>
      <c r="H40" s="8">
        <v>16.539473684210531</v>
      </c>
      <c r="I40" s="9">
        <v>314.25</v>
      </c>
      <c r="J40" s="74">
        <v>26</v>
      </c>
      <c r="K40" s="11">
        <v>0</v>
      </c>
      <c r="L40" s="12">
        <f t="shared" si="2"/>
        <v>-0.41885964912279761</v>
      </c>
      <c r="M40" s="7">
        <f t="shared" si="3"/>
        <v>-2.4699340488813624</v>
      </c>
    </row>
    <row r="41" spans="1:13" x14ac:dyDescent="0.25">
      <c r="A41" s="2">
        <v>37</v>
      </c>
      <c r="B41" s="48" t="s">
        <v>159</v>
      </c>
      <c r="C41" s="4">
        <v>18</v>
      </c>
      <c r="D41" s="30">
        <v>10</v>
      </c>
      <c r="E41" s="6">
        <v>0</v>
      </c>
      <c r="F41" s="7">
        <f t="shared" si="0"/>
        <v>-1</v>
      </c>
      <c r="G41" s="7">
        <f t="shared" si="1"/>
        <v>-5.2631578947368416</v>
      </c>
      <c r="H41" s="8">
        <v>20.196666666666669</v>
      </c>
      <c r="I41" s="9">
        <v>302.95</v>
      </c>
      <c r="J41" s="96">
        <v>32</v>
      </c>
      <c r="K41" s="11">
        <v>0</v>
      </c>
      <c r="L41" s="12">
        <f t="shared" si="2"/>
        <v>3.657192982456138</v>
      </c>
      <c r="M41" s="7">
        <f t="shared" si="3"/>
        <v>22.111906656059379</v>
      </c>
    </row>
    <row r="42" spans="1:13" x14ac:dyDescent="0.25">
      <c r="A42" s="2">
        <v>38</v>
      </c>
      <c r="B42" s="48" t="s">
        <v>114</v>
      </c>
      <c r="C42" s="4">
        <v>25</v>
      </c>
      <c r="D42" s="13">
        <v>3</v>
      </c>
      <c r="E42" s="6">
        <v>0</v>
      </c>
      <c r="F42" s="7">
        <f t="shared" si="0"/>
        <v>7</v>
      </c>
      <c r="G42" s="7">
        <f t="shared" si="1"/>
        <v>38.888888888888893</v>
      </c>
      <c r="H42" s="8">
        <v>19.86428571428571</v>
      </c>
      <c r="I42" s="9">
        <v>417.15</v>
      </c>
      <c r="J42" s="55">
        <v>4</v>
      </c>
      <c r="K42" s="11">
        <v>0</v>
      </c>
      <c r="L42" s="12">
        <f t="shared" si="2"/>
        <v>-0.33238095238095866</v>
      </c>
      <c r="M42" s="7">
        <f t="shared" si="3"/>
        <v>-1.6457218305708465</v>
      </c>
    </row>
    <row r="43" spans="1:13" x14ac:dyDescent="0.25">
      <c r="A43" s="2">
        <v>39</v>
      </c>
      <c r="B43" s="48" t="s">
        <v>128</v>
      </c>
      <c r="C43" s="4">
        <v>20</v>
      </c>
      <c r="D43" s="23">
        <v>8</v>
      </c>
      <c r="E43" s="6">
        <v>0</v>
      </c>
      <c r="F43" s="7">
        <f t="shared" si="0"/>
        <v>-5</v>
      </c>
      <c r="G43" s="7">
        <f t="shared" si="1"/>
        <v>-20</v>
      </c>
      <c r="H43" s="8">
        <v>18.118421052631579</v>
      </c>
      <c r="I43" s="9">
        <v>344.25</v>
      </c>
      <c r="J43" s="66">
        <v>15</v>
      </c>
      <c r="K43" s="11">
        <v>0</v>
      </c>
      <c r="L43" s="12">
        <f t="shared" si="2"/>
        <v>-1.7458646616541316</v>
      </c>
      <c r="M43" s="7">
        <f t="shared" si="3"/>
        <v>-8.7889626980071363</v>
      </c>
    </row>
    <row r="44" spans="1:13" x14ac:dyDescent="0.25">
      <c r="A44" s="2">
        <v>40</v>
      </c>
      <c r="B44" s="48" t="s">
        <v>155</v>
      </c>
      <c r="C44" s="4">
        <v>18</v>
      </c>
      <c r="D44" s="30">
        <v>10</v>
      </c>
      <c r="E44" s="6">
        <v>0</v>
      </c>
      <c r="F44" s="7">
        <f t="shared" si="0"/>
        <v>-2</v>
      </c>
      <c r="G44" s="7">
        <f t="shared" si="1"/>
        <v>-10</v>
      </c>
      <c r="H44" s="8">
        <v>19.40625</v>
      </c>
      <c r="I44" s="9">
        <v>310.5</v>
      </c>
      <c r="J44" s="92">
        <v>28</v>
      </c>
      <c r="K44" s="11">
        <v>0</v>
      </c>
      <c r="L44" s="12">
        <f t="shared" si="2"/>
        <v>1.2878289473684212</v>
      </c>
      <c r="M44" s="7">
        <f t="shared" si="3"/>
        <v>7.1078431372549034</v>
      </c>
    </row>
    <row r="45" spans="1:13" x14ac:dyDescent="0.25">
      <c r="A45" s="2">
        <v>41</v>
      </c>
      <c r="B45" s="48" t="s">
        <v>134</v>
      </c>
      <c r="C45" s="4">
        <v>20</v>
      </c>
      <c r="D45" s="23">
        <v>8</v>
      </c>
      <c r="E45" s="6">
        <v>0</v>
      </c>
      <c r="F45" s="7">
        <f t="shared" si="0"/>
        <v>2</v>
      </c>
      <c r="G45" s="7">
        <f t="shared" si="1"/>
        <v>11.111111111111111</v>
      </c>
      <c r="H45" s="8">
        <v>15.55</v>
      </c>
      <c r="I45" s="9">
        <v>311</v>
      </c>
      <c r="J45" s="72">
        <v>27</v>
      </c>
      <c r="K45" s="11">
        <v>0</v>
      </c>
      <c r="L45" s="12">
        <f t="shared" si="2"/>
        <v>-3.8562499999999993</v>
      </c>
      <c r="M45" s="7">
        <f t="shared" si="3"/>
        <v>-19.871175523349432</v>
      </c>
    </row>
    <row r="46" spans="1:13" x14ac:dyDescent="0.25">
      <c r="A46" s="2">
        <v>42</v>
      </c>
      <c r="B46" s="48" t="s">
        <v>127</v>
      </c>
      <c r="C46" s="4">
        <v>20</v>
      </c>
      <c r="D46" s="23">
        <v>8</v>
      </c>
      <c r="E46" s="6">
        <v>0</v>
      </c>
      <c r="F46" s="7">
        <f t="shared" si="0"/>
        <v>0</v>
      </c>
      <c r="G46" s="7">
        <f t="shared" si="1"/>
        <v>0</v>
      </c>
      <c r="H46" s="8">
        <v>18.45789473684211</v>
      </c>
      <c r="I46" s="9">
        <v>350.7</v>
      </c>
      <c r="J46" s="65">
        <v>14</v>
      </c>
      <c r="K46" s="11">
        <v>0</v>
      </c>
      <c r="L46" s="12">
        <f t="shared" si="2"/>
        <v>2.9078947368421098</v>
      </c>
      <c r="M46" s="7">
        <f t="shared" si="3"/>
        <v>18.700287696733824</v>
      </c>
    </row>
    <row r="47" spans="1:13" x14ac:dyDescent="0.25">
      <c r="A47" s="2">
        <v>43</v>
      </c>
      <c r="B47" s="48" t="s">
        <v>122</v>
      </c>
      <c r="C47" s="4">
        <v>23</v>
      </c>
      <c r="D47" s="27">
        <v>5</v>
      </c>
      <c r="E47" s="6">
        <v>0</v>
      </c>
      <c r="F47" s="7">
        <f t="shared" si="0"/>
        <v>3</v>
      </c>
      <c r="G47" s="7">
        <f t="shared" si="1"/>
        <v>15</v>
      </c>
      <c r="H47" s="8">
        <v>17.75</v>
      </c>
      <c r="I47" s="9">
        <v>355</v>
      </c>
      <c r="J47" s="58">
        <v>11</v>
      </c>
      <c r="K47" s="11">
        <v>0</v>
      </c>
      <c r="L47" s="12">
        <f t="shared" si="2"/>
        <v>-0.70789473684211046</v>
      </c>
      <c r="M47" s="7">
        <f t="shared" si="3"/>
        <v>-3.8351867693185326</v>
      </c>
    </row>
    <row r="48" spans="1:13" x14ac:dyDescent="0.25">
      <c r="A48" s="2">
        <v>44</v>
      </c>
      <c r="B48" s="48" t="s">
        <v>145</v>
      </c>
      <c r="C48" s="4">
        <v>18</v>
      </c>
      <c r="D48" s="30">
        <v>10</v>
      </c>
      <c r="E48" s="6">
        <v>0</v>
      </c>
      <c r="F48" s="7">
        <f t="shared" si="0"/>
        <v>-5</v>
      </c>
      <c r="G48" s="7">
        <f t="shared" si="1"/>
        <v>-21.739130434782609</v>
      </c>
      <c r="H48" s="8">
        <v>16.652777777777779</v>
      </c>
      <c r="I48" s="9">
        <v>299.75</v>
      </c>
      <c r="J48" s="83">
        <v>34</v>
      </c>
      <c r="K48" s="11">
        <v>0</v>
      </c>
      <c r="L48" s="12">
        <f t="shared" si="2"/>
        <v>-1.0972222222222214</v>
      </c>
      <c r="M48" s="7">
        <f t="shared" si="3"/>
        <v>-6.1815336463223742</v>
      </c>
    </row>
    <row r="49" spans="1:13" x14ac:dyDescent="0.25">
      <c r="A49" s="2">
        <v>45</v>
      </c>
      <c r="B49" s="48" t="s">
        <v>130</v>
      </c>
      <c r="C49" s="4">
        <v>20</v>
      </c>
      <c r="D49" s="23">
        <v>8</v>
      </c>
      <c r="E49" s="6">
        <v>0</v>
      </c>
      <c r="F49" s="7">
        <f t="shared" si="0"/>
        <v>2</v>
      </c>
      <c r="G49" s="7">
        <f t="shared" si="1"/>
        <v>11.111111111111111</v>
      </c>
      <c r="H49" s="8">
        <v>18.12777777777778</v>
      </c>
      <c r="I49" s="9">
        <v>326.3</v>
      </c>
      <c r="J49" s="68">
        <v>20</v>
      </c>
      <c r="K49" s="11">
        <v>0</v>
      </c>
      <c r="L49" s="12">
        <f t="shared" si="2"/>
        <v>1.4750000000000014</v>
      </c>
      <c r="M49" s="7">
        <f t="shared" si="3"/>
        <v>8.8573811509591405</v>
      </c>
    </row>
    <row r="50" spans="1:13" x14ac:dyDescent="0.25">
      <c r="A50" s="2">
        <v>46</v>
      </c>
      <c r="B50" s="48" t="s">
        <v>148</v>
      </c>
      <c r="C50" s="4">
        <v>18</v>
      </c>
      <c r="D50" s="30">
        <v>10</v>
      </c>
      <c r="E50" s="6">
        <v>0</v>
      </c>
      <c r="F50" s="7">
        <f t="shared" si="0"/>
        <v>-2</v>
      </c>
      <c r="G50" s="7">
        <f t="shared" si="1"/>
        <v>-10</v>
      </c>
      <c r="H50" s="8">
        <v>18.65625</v>
      </c>
      <c r="I50" s="9">
        <v>298.5</v>
      </c>
      <c r="J50" s="86">
        <v>37</v>
      </c>
      <c r="K50" s="11">
        <v>0</v>
      </c>
      <c r="L50" s="12">
        <f t="shared" si="2"/>
        <v>0.52847222222222001</v>
      </c>
      <c r="M50" s="7">
        <f t="shared" si="3"/>
        <v>2.9152620288078328</v>
      </c>
    </row>
    <row r="51" spans="1:13" ht="18.75" x14ac:dyDescent="0.3">
      <c r="A51" s="2">
        <v>47</v>
      </c>
      <c r="B51" s="48" t="s">
        <v>143</v>
      </c>
      <c r="C51" s="29">
        <f>SUBTOTAL(9,C4:C50)</f>
        <v>951</v>
      </c>
      <c r="D51" s="25">
        <v>9</v>
      </c>
      <c r="E51" s="31">
        <f>SUBTOTAL(9,E4:E50)</f>
        <v>0</v>
      </c>
      <c r="F51" s="32">
        <f>SUBTOTAL(9,F4:F50)</f>
        <v>0</v>
      </c>
      <c r="G51" s="32">
        <f>SUBTOTAL(9,G4:G50)</f>
        <v>69.813377316809834</v>
      </c>
      <c r="H51" s="33">
        <f>SUBTOTAL(9,H4:H50)</f>
        <v>829.5746744378531</v>
      </c>
      <c r="I51" s="34">
        <f>SUBTOTAL(9,I4:I50)</f>
        <v>15503.5</v>
      </c>
      <c r="J51" s="81">
        <v>22</v>
      </c>
      <c r="K51" s="31">
        <f>SUBTOTAL(9,K4:K50)</f>
        <v>0</v>
      </c>
      <c r="L51" s="36">
        <f>SUBTOTAL(9,L4:L50)</f>
        <v>1.8033088235294095</v>
      </c>
      <c r="M51" s="32">
        <f>SUBTOTAL(9,M4:M50)</f>
        <v>37.898948141716453</v>
      </c>
    </row>
  </sheetData>
  <autoFilter ref="A3:M50" xr:uid="{00000000-0009-0000-0000-000015000000}"/>
  <mergeCells count="1">
    <mergeCell ref="A1:N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162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161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97">
        <v>12</v>
      </c>
      <c r="C4" s="4">
        <v>6776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17.098869020327069</v>
      </c>
      <c r="I4" s="9">
        <v>111877.9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97">
        <v>13</v>
      </c>
      <c r="C5" s="4">
        <v>6413</v>
      </c>
      <c r="D5" s="5">
        <v>2</v>
      </c>
      <c r="E5" s="6">
        <v>0</v>
      </c>
      <c r="F5" s="7">
        <f t="shared" si="0"/>
        <v>-363</v>
      </c>
      <c r="G5" s="7">
        <f t="shared" si="1"/>
        <v>-5.3571428571428568</v>
      </c>
      <c r="H5" s="8">
        <v>17.099097211026919</v>
      </c>
      <c r="I5" s="9">
        <v>106065.7</v>
      </c>
      <c r="J5" s="14">
        <v>2</v>
      </c>
      <c r="K5" s="11">
        <v>0</v>
      </c>
      <c r="L5" s="12">
        <f t="shared" si="2"/>
        <v>2.2819069985047236E-4</v>
      </c>
      <c r="M5" s="7">
        <f t="shared" si="3"/>
        <v>1.3345368022832397E-3</v>
      </c>
    </row>
    <row r="6" spans="1:14" x14ac:dyDescent="0.25">
      <c r="A6" s="2">
        <v>2</v>
      </c>
      <c r="B6" s="97">
        <v>18</v>
      </c>
      <c r="C6" s="4">
        <v>5417</v>
      </c>
      <c r="D6" s="13">
        <v>3</v>
      </c>
      <c r="E6" s="6">
        <v>0</v>
      </c>
      <c r="F6" s="7">
        <f t="shared" si="0"/>
        <v>-996</v>
      </c>
      <c r="G6" s="7">
        <f t="shared" si="1"/>
        <v>-15.530952752222049</v>
      </c>
      <c r="H6" s="8">
        <v>16.66296883746968</v>
      </c>
      <c r="I6" s="9">
        <v>89296.85</v>
      </c>
      <c r="J6" s="16">
        <v>3</v>
      </c>
      <c r="K6" s="11">
        <v>0</v>
      </c>
      <c r="L6" s="12">
        <f t="shared" si="2"/>
        <v>-0.43612837355723855</v>
      </c>
      <c r="M6" s="7">
        <f t="shared" si="3"/>
        <v>-2.5505929826282685</v>
      </c>
    </row>
    <row r="7" spans="1:14" x14ac:dyDescent="0.25">
      <c r="A7" s="2">
        <v>3</v>
      </c>
      <c r="B7" s="97">
        <v>17</v>
      </c>
      <c r="C7" s="4">
        <v>5211</v>
      </c>
      <c r="D7" s="15">
        <v>4</v>
      </c>
      <c r="E7" s="6">
        <v>0</v>
      </c>
      <c r="F7" s="7">
        <f t="shared" si="0"/>
        <v>-206</v>
      </c>
      <c r="G7" s="7">
        <f t="shared" si="1"/>
        <v>-3.8028429019752634</v>
      </c>
      <c r="H7" s="8">
        <v>16.767927279797782</v>
      </c>
      <c r="I7" s="9">
        <v>86237.45</v>
      </c>
      <c r="J7" s="18">
        <v>4</v>
      </c>
      <c r="K7" s="11">
        <v>0</v>
      </c>
      <c r="L7" s="12">
        <f t="shared" si="2"/>
        <v>0.10495844232810114</v>
      </c>
      <c r="M7" s="7">
        <f t="shared" si="3"/>
        <v>0.62989040759701365</v>
      </c>
    </row>
    <row r="8" spans="1:14" x14ac:dyDescent="0.25">
      <c r="A8" s="2">
        <v>4</v>
      </c>
      <c r="B8" s="97">
        <v>19</v>
      </c>
      <c r="C8" s="4">
        <v>4406</v>
      </c>
      <c r="D8" s="27">
        <v>5</v>
      </c>
      <c r="E8" s="6">
        <v>0</v>
      </c>
      <c r="F8" s="7">
        <f t="shared" si="0"/>
        <v>-805</v>
      </c>
      <c r="G8" s="7">
        <f t="shared" si="1"/>
        <v>-15.448090577624257</v>
      </c>
      <c r="H8" s="8">
        <v>16.69629885057471</v>
      </c>
      <c r="I8" s="9">
        <v>72628.899999999994</v>
      </c>
      <c r="J8" s="20">
        <v>5</v>
      </c>
      <c r="K8" s="11">
        <v>0</v>
      </c>
      <c r="L8" s="12">
        <f t="shared" si="2"/>
        <v>-7.1628429223071777E-2</v>
      </c>
      <c r="M8" s="7">
        <f t="shared" si="3"/>
        <v>-0.42717521389403118</v>
      </c>
    </row>
    <row r="9" spans="1:14" x14ac:dyDescent="0.25">
      <c r="A9" s="2">
        <v>5</v>
      </c>
      <c r="B9" s="97">
        <v>16</v>
      </c>
      <c r="C9" s="4">
        <v>4239</v>
      </c>
      <c r="D9" s="17">
        <v>6</v>
      </c>
      <c r="E9" s="6">
        <v>0</v>
      </c>
      <c r="F9" s="7">
        <f t="shared" si="0"/>
        <v>-167</v>
      </c>
      <c r="G9" s="7">
        <f t="shared" si="1"/>
        <v>-3.7902859736722654</v>
      </c>
      <c r="H9" s="8">
        <v>16.739641577060929</v>
      </c>
      <c r="I9" s="9">
        <v>70055.399999999994</v>
      </c>
      <c r="J9" s="22">
        <v>6</v>
      </c>
      <c r="K9" s="11">
        <v>0</v>
      </c>
      <c r="L9" s="12">
        <f t="shared" si="2"/>
        <v>4.3342726486219618E-2</v>
      </c>
      <c r="M9" s="7">
        <f t="shared" si="3"/>
        <v>0.25959481723536409</v>
      </c>
    </row>
    <row r="10" spans="1:14" x14ac:dyDescent="0.25">
      <c r="A10" s="2">
        <v>6</v>
      </c>
      <c r="B10" s="97">
        <v>14</v>
      </c>
      <c r="C10" s="4">
        <v>3613</v>
      </c>
      <c r="D10" s="21">
        <v>7</v>
      </c>
      <c r="E10" s="6">
        <v>0</v>
      </c>
      <c r="F10" s="7">
        <f t="shared" si="0"/>
        <v>-626</v>
      </c>
      <c r="G10" s="7">
        <f t="shared" si="1"/>
        <v>-14.767633875914129</v>
      </c>
      <c r="H10" s="8">
        <v>16.813802896904289</v>
      </c>
      <c r="I10" s="9">
        <v>59201.4</v>
      </c>
      <c r="J10" s="24">
        <v>7</v>
      </c>
      <c r="K10" s="11">
        <v>0</v>
      </c>
      <c r="L10" s="12">
        <f t="shared" si="2"/>
        <v>7.4161319843359053E-2</v>
      </c>
      <c r="M10" s="7">
        <f t="shared" si="3"/>
        <v>0.44302812280631859</v>
      </c>
    </row>
    <row r="11" spans="1:14" x14ac:dyDescent="0.25">
      <c r="A11" s="2">
        <v>7</v>
      </c>
      <c r="B11" s="97">
        <v>20</v>
      </c>
      <c r="C11" s="4">
        <v>3534</v>
      </c>
      <c r="D11" s="23">
        <v>8</v>
      </c>
      <c r="E11" s="6">
        <v>0</v>
      </c>
      <c r="F11" s="7">
        <f t="shared" si="0"/>
        <v>-79</v>
      </c>
      <c r="G11" s="7">
        <f t="shared" si="1"/>
        <v>-2.1865485745917521</v>
      </c>
      <c r="H11" s="8">
        <v>16.694981359334669</v>
      </c>
      <c r="I11" s="9">
        <v>58215.4</v>
      </c>
      <c r="J11" s="26">
        <v>8</v>
      </c>
      <c r="K11" s="11">
        <v>0</v>
      </c>
      <c r="L11" s="12">
        <f t="shared" si="2"/>
        <v>-0.11882153756961955</v>
      </c>
      <c r="M11" s="7">
        <f t="shared" si="3"/>
        <v>-0.70669043938594434</v>
      </c>
    </row>
    <row r="12" spans="1:14" x14ac:dyDescent="0.25">
      <c r="A12" s="2">
        <v>8</v>
      </c>
      <c r="B12" s="97">
        <v>15</v>
      </c>
      <c r="C12" s="4">
        <v>3216</v>
      </c>
      <c r="D12" s="25">
        <v>9</v>
      </c>
      <c r="E12" s="6">
        <v>0</v>
      </c>
      <c r="F12" s="7">
        <f t="shared" si="0"/>
        <v>-318</v>
      </c>
      <c r="G12" s="7">
        <f t="shared" si="1"/>
        <v>-8.998302207130731</v>
      </c>
      <c r="H12" s="8">
        <v>16.716813880126178</v>
      </c>
      <c r="I12" s="9">
        <v>52992.3</v>
      </c>
      <c r="J12" s="28">
        <v>9</v>
      </c>
      <c r="K12" s="11">
        <v>0</v>
      </c>
      <c r="L12" s="12">
        <f t="shared" si="2"/>
        <v>2.1832520791509324E-2</v>
      </c>
      <c r="M12" s="7">
        <f t="shared" si="3"/>
        <v>0.13077295698387889</v>
      </c>
    </row>
    <row r="13" spans="1:14" ht="18.75" x14ac:dyDescent="0.3">
      <c r="A13" s="2">
        <v>9</v>
      </c>
      <c r="B13" s="97">
        <v>11</v>
      </c>
      <c r="C13" s="29">
        <f>SUBTOTAL(9,C4:C12)</f>
        <v>42825</v>
      </c>
      <c r="D13" s="30">
        <v>10</v>
      </c>
      <c r="E13" s="31">
        <f>SUBTOTAL(9,E4:E12)</f>
        <v>0</v>
      </c>
      <c r="F13" s="32">
        <f>SUBTOTAL(9,F4:F12)</f>
        <v>-3560</v>
      </c>
      <c r="G13" s="32">
        <f>SUBTOTAL(9,G4:G12)</f>
        <v>-69.881799720273307</v>
      </c>
      <c r="H13" s="33">
        <f>SUBTOTAL(9,H4:H12)</f>
        <v>151.29040091262223</v>
      </c>
      <c r="I13" s="34">
        <f>SUBTOTAL(9,I4:I12)</f>
        <v>706571.3</v>
      </c>
      <c r="J13" s="35">
        <v>10</v>
      </c>
      <c r="K13" s="31">
        <f>SUBTOTAL(9,K4:K12)</f>
        <v>0</v>
      </c>
      <c r="L13" s="36">
        <f>SUBTOTAL(9,L4:L12)</f>
        <v>-0.38205514020089026</v>
      </c>
      <c r="M13" s="32">
        <f>SUBTOTAL(9,M4:M12)</f>
        <v>-2.2198377944833854</v>
      </c>
    </row>
  </sheetData>
  <autoFilter ref="A3:M12" xr:uid="{00000000-0009-0000-0000-000016000000}"/>
  <mergeCells count="1">
    <mergeCell ref="A1:N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162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161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97">
        <v>11</v>
      </c>
      <c r="C4" s="4">
        <v>2728</v>
      </c>
      <c r="D4" s="30">
        <v>10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16.817290419161679</v>
      </c>
      <c r="I4" s="9">
        <v>44935.8</v>
      </c>
      <c r="J4" s="35">
        <v>10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97">
        <v>12</v>
      </c>
      <c r="C5" s="4">
        <v>6776</v>
      </c>
      <c r="D5" s="19">
        <v>1</v>
      </c>
      <c r="E5" s="6">
        <v>0</v>
      </c>
      <c r="F5" s="7">
        <f t="shared" si="0"/>
        <v>4048</v>
      </c>
      <c r="G5" s="7">
        <f t="shared" si="1"/>
        <v>148.38709677419354</v>
      </c>
      <c r="H5" s="8">
        <v>17.098869020327069</v>
      </c>
      <c r="I5" s="9">
        <v>111877.9</v>
      </c>
      <c r="J5" s="10">
        <v>1</v>
      </c>
      <c r="K5" s="11">
        <v>0</v>
      </c>
      <c r="L5" s="12">
        <f t="shared" si="2"/>
        <v>0.28157860116538913</v>
      </c>
      <c r="M5" s="7">
        <f t="shared" si="3"/>
        <v>1.6743398856010567</v>
      </c>
    </row>
    <row r="6" spans="1:14" x14ac:dyDescent="0.25">
      <c r="A6" s="2">
        <v>2</v>
      </c>
      <c r="B6" s="97">
        <v>13</v>
      </c>
      <c r="C6" s="4">
        <v>6413</v>
      </c>
      <c r="D6" s="5">
        <v>2</v>
      </c>
      <c r="E6" s="6">
        <v>0</v>
      </c>
      <c r="F6" s="7">
        <f t="shared" si="0"/>
        <v>-363</v>
      </c>
      <c r="G6" s="7">
        <f t="shared" si="1"/>
        <v>-5.3571428571428568</v>
      </c>
      <c r="H6" s="8">
        <v>17.099097211026919</v>
      </c>
      <c r="I6" s="9">
        <v>106065.7</v>
      </c>
      <c r="J6" s="14">
        <v>2</v>
      </c>
      <c r="K6" s="11">
        <v>0</v>
      </c>
      <c r="L6" s="12">
        <f t="shared" si="2"/>
        <v>2.2819069985047236E-4</v>
      </c>
      <c r="M6" s="7">
        <f t="shared" si="3"/>
        <v>1.3345368022832397E-3</v>
      </c>
    </row>
    <row r="7" spans="1:14" x14ac:dyDescent="0.25">
      <c r="A7" s="2">
        <v>3</v>
      </c>
      <c r="B7" s="97">
        <v>14</v>
      </c>
      <c r="C7" s="4">
        <v>3613</v>
      </c>
      <c r="D7" s="21">
        <v>7</v>
      </c>
      <c r="E7" s="6">
        <v>0</v>
      </c>
      <c r="F7" s="7">
        <f t="shared" si="0"/>
        <v>-2800</v>
      </c>
      <c r="G7" s="7">
        <f t="shared" si="1"/>
        <v>-43.661312958053955</v>
      </c>
      <c r="H7" s="8">
        <v>16.813802896904289</v>
      </c>
      <c r="I7" s="9">
        <v>59201.4</v>
      </c>
      <c r="J7" s="24">
        <v>7</v>
      </c>
      <c r="K7" s="11">
        <v>0</v>
      </c>
      <c r="L7" s="12">
        <f t="shared" si="2"/>
        <v>-0.28529431412263051</v>
      </c>
      <c r="M7" s="7">
        <f t="shared" si="3"/>
        <v>-1.6684758885319924</v>
      </c>
    </row>
    <row r="8" spans="1:14" x14ac:dyDescent="0.25">
      <c r="A8" s="2">
        <v>4</v>
      </c>
      <c r="B8" s="97">
        <v>15</v>
      </c>
      <c r="C8" s="4">
        <v>3216</v>
      </c>
      <c r="D8" s="25">
        <v>9</v>
      </c>
      <c r="E8" s="6">
        <v>0</v>
      </c>
      <c r="F8" s="7">
        <f t="shared" si="0"/>
        <v>-397</v>
      </c>
      <c r="G8" s="7">
        <f t="shared" si="1"/>
        <v>-10.988098533075007</v>
      </c>
      <c r="H8" s="8">
        <v>16.716813880126178</v>
      </c>
      <c r="I8" s="9">
        <v>52992.3</v>
      </c>
      <c r="J8" s="28">
        <v>9</v>
      </c>
      <c r="K8" s="11">
        <v>0</v>
      </c>
      <c r="L8" s="12">
        <f t="shared" si="2"/>
        <v>-9.6989016778110226E-2</v>
      </c>
      <c r="M8" s="7">
        <f t="shared" si="3"/>
        <v>-0.57684164238637281</v>
      </c>
    </row>
    <row r="9" spans="1:14" x14ac:dyDescent="0.25">
      <c r="A9" s="2">
        <v>5</v>
      </c>
      <c r="B9" s="97">
        <v>16</v>
      </c>
      <c r="C9" s="4">
        <v>4239</v>
      </c>
      <c r="D9" s="17">
        <v>6</v>
      </c>
      <c r="E9" s="6">
        <v>0</v>
      </c>
      <c r="F9" s="7">
        <f t="shared" si="0"/>
        <v>1023</v>
      </c>
      <c r="G9" s="7">
        <f t="shared" si="1"/>
        <v>31.809701492537311</v>
      </c>
      <c r="H9" s="8">
        <v>16.739641577060929</v>
      </c>
      <c r="I9" s="9">
        <v>70055.399999999994</v>
      </c>
      <c r="J9" s="22">
        <v>6</v>
      </c>
      <c r="K9" s="11">
        <v>0</v>
      </c>
      <c r="L9" s="12">
        <f t="shared" si="2"/>
        <v>2.2827696934751174E-2</v>
      </c>
      <c r="M9" s="7">
        <f t="shared" si="3"/>
        <v>0.13655530951319578</v>
      </c>
    </row>
    <row r="10" spans="1:14" x14ac:dyDescent="0.25">
      <c r="A10" s="2">
        <v>6</v>
      </c>
      <c r="B10" s="97">
        <v>17</v>
      </c>
      <c r="C10" s="4">
        <v>5211</v>
      </c>
      <c r="D10" s="15">
        <v>4</v>
      </c>
      <c r="E10" s="6">
        <v>0</v>
      </c>
      <c r="F10" s="7">
        <f t="shared" si="0"/>
        <v>972</v>
      </c>
      <c r="G10" s="7">
        <f t="shared" si="1"/>
        <v>22.929936305732486</v>
      </c>
      <c r="H10" s="8">
        <v>16.767927279797782</v>
      </c>
      <c r="I10" s="9">
        <v>86237.45</v>
      </c>
      <c r="J10" s="18">
        <v>4</v>
      </c>
      <c r="K10" s="11">
        <v>0</v>
      </c>
      <c r="L10" s="12">
        <f t="shared" si="2"/>
        <v>2.8285702736852159E-2</v>
      </c>
      <c r="M10" s="7">
        <f t="shared" si="3"/>
        <v>0.16897436308082789</v>
      </c>
    </row>
    <row r="11" spans="1:14" x14ac:dyDescent="0.25">
      <c r="A11" s="2">
        <v>7</v>
      </c>
      <c r="B11" s="97">
        <v>18</v>
      </c>
      <c r="C11" s="4">
        <v>5417</v>
      </c>
      <c r="D11" s="13">
        <v>3</v>
      </c>
      <c r="E11" s="6">
        <v>0</v>
      </c>
      <c r="F11" s="7">
        <f t="shared" si="0"/>
        <v>206</v>
      </c>
      <c r="G11" s="7">
        <f t="shared" si="1"/>
        <v>3.953175973901363</v>
      </c>
      <c r="H11" s="8">
        <v>16.66296883746968</v>
      </c>
      <c r="I11" s="9">
        <v>89296.85</v>
      </c>
      <c r="J11" s="16">
        <v>3</v>
      </c>
      <c r="K11" s="11">
        <v>0</v>
      </c>
      <c r="L11" s="12">
        <f t="shared" si="2"/>
        <v>-0.10495844232810114</v>
      </c>
      <c r="M11" s="7">
        <f t="shared" si="3"/>
        <v>-0.62594762355963007</v>
      </c>
    </row>
    <row r="12" spans="1:14" x14ac:dyDescent="0.25">
      <c r="A12" s="2">
        <v>8</v>
      </c>
      <c r="B12" s="97">
        <v>19</v>
      </c>
      <c r="C12" s="4">
        <v>4406</v>
      </c>
      <c r="D12" s="27">
        <v>5</v>
      </c>
      <c r="E12" s="6">
        <v>0</v>
      </c>
      <c r="F12" s="7">
        <f t="shared" si="0"/>
        <v>-1011</v>
      </c>
      <c r="G12" s="7">
        <f t="shared" si="1"/>
        <v>-18.663466863577625</v>
      </c>
      <c r="H12" s="8">
        <v>16.69629885057471</v>
      </c>
      <c r="I12" s="9">
        <v>72628.899999999994</v>
      </c>
      <c r="J12" s="20">
        <v>5</v>
      </c>
      <c r="K12" s="11">
        <v>0</v>
      </c>
      <c r="L12" s="12">
        <f t="shared" si="2"/>
        <v>3.3330013105029366E-2</v>
      </c>
      <c r="M12" s="7">
        <f t="shared" si="3"/>
        <v>0.200024458007032</v>
      </c>
    </row>
    <row r="13" spans="1:14" ht="18.75" x14ac:dyDescent="0.3">
      <c r="A13" s="2">
        <v>9</v>
      </c>
      <c r="B13" s="97">
        <v>20</v>
      </c>
      <c r="C13" s="29">
        <f>SUBTOTAL(9,C4:C12)</f>
        <v>42019</v>
      </c>
      <c r="D13" s="23">
        <v>8</v>
      </c>
      <c r="E13" s="31">
        <f>SUBTOTAL(9,E4:E12)</f>
        <v>0</v>
      </c>
      <c r="F13" s="32">
        <f>SUBTOTAL(9,F4:F12)</f>
        <v>1678</v>
      </c>
      <c r="G13" s="32">
        <f>SUBTOTAL(9,G4:G12)</f>
        <v>128.40988933451524</v>
      </c>
      <c r="H13" s="33">
        <f>SUBTOTAL(9,H4:H12)</f>
        <v>151.41270997244928</v>
      </c>
      <c r="I13" s="34">
        <f>SUBTOTAL(9,I4:I12)</f>
        <v>693291.7</v>
      </c>
      <c r="J13" s="26">
        <v>8</v>
      </c>
      <c r="K13" s="31">
        <f>SUBTOTAL(9,K4:K12)</f>
        <v>0</v>
      </c>
      <c r="L13" s="36">
        <f>SUBTOTAL(9,L4:L12)</f>
        <v>-0.12099156858696958</v>
      </c>
      <c r="M13" s="32">
        <f>SUBTOTAL(9,M4:M12)</f>
        <v>-0.69003660147359969</v>
      </c>
    </row>
  </sheetData>
  <autoFilter ref="A3:M12" xr:uid="{00000000-0009-0000-0000-000017000000}"/>
  <mergeCells count="1">
    <mergeCell ref="A1:N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163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161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97">
        <v>12</v>
      </c>
      <c r="C4" s="4">
        <v>6776</v>
      </c>
      <c r="D4" s="19">
        <v>1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17.098869020327069</v>
      </c>
      <c r="I4" s="9">
        <v>111877.9</v>
      </c>
      <c r="J4" s="10">
        <v>1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97">
        <v>13</v>
      </c>
      <c r="C5" s="4">
        <v>6413</v>
      </c>
      <c r="D5" s="5">
        <v>2</v>
      </c>
      <c r="E5" s="6">
        <v>0</v>
      </c>
      <c r="F5" s="7">
        <f t="shared" si="0"/>
        <v>-363</v>
      </c>
      <c r="G5" s="7">
        <f t="shared" si="1"/>
        <v>-5.3571428571428568</v>
      </c>
      <c r="H5" s="8">
        <v>17.099097211026919</v>
      </c>
      <c r="I5" s="9">
        <v>106065.7</v>
      </c>
      <c r="J5" s="14">
        <v>2</v>
      </c>
      <c r="K5" s="11">
        <v>0</v>
      </c>
      <c r="L5" s="12">
        <f t="shared" si="2"/>
        <v>2.2819069985047236E-4</v>
      </c>
      <c r="M5" s="7">
        <f t="shared" si="3"/>
        <v>1.3345368022832397E-3</v>
      </c>
    </row>
    <row r="6" spans="1:14" x14ac:dyDescent="0.25">
      <c r="A6" s="2">
        <v>2</v>
      </c>
      <c r="B6" s="97">
        <v>18</v>
      </c>
      <c r="C6" s="4">
        <v>5417</v>
      </c>
      <c r="D6" s="13">
        <v>3</v>
      </c>
      <c r="E6" s="6">
        <v>0</v>
      </c>
      <c r="F6" s="7">
        <f t="shared" si="0"/>
        <v>-996</v>
      </c>
      <c r="G6" s="7">
        <f t="shared" si="1"/>
        <v>-15.530952752222049</v>
      </c>
      <c r="H6" s="8">
        <v>16.66296883746968</v>
      </c>
      <c r="I6" s="9">
        <v>89296.85</v>
      </c>
      <c r="J6" s="16">
        <v>3</v>
      </c>
      <c r="K6" s="11">
        <v>0</v>
      </c>
      <c r="L6" s="12">
        <f t="shared" si="2"/>
        <v>-0.43612837355723855</v>
      </c>
      <c r="M6" s="7">
        <f t="shared" si="3"/>
        <v>-2.5505929826282685</v>
      </c>
    </row>
    <row r="7" spans="1:14" x14ac:dyDescent="0.25">
      <c r="A7" s="2">
        <v>3</v>
      </c>
      <c r="B7" s="97">
        <v>17</v>
      </c>
      <c r="C7" s="4">
        <v>5211</v>
      </c>
      <c r="D7" s="15">
        <v>4</v>
      </c>
      <c r="E7" s="6">
        <v>0</v>
      </c>
      <c r="F7" s="7">
        <f t="shared" si="0"/>
        <v>-206</v>
      </c>
      <c r="G7" s="7">
        <f t="shared" si="1"/>
        <v>-3.8028429019752634</v>
      </c>
      <c r="H7" s="8">
        <v>16.767927279797782</v>
      </c>
      <c r="I7" s="9">
        <v>86237.45</v>
      </c>
      <c r="J7" s="18">
        <v>4</v>
      </c>
      <c r="K7" s="11">
        <v>0</v>
      </c>
      <c r="L7" s="12">
        <f t="shared" si="2"/>
        <v>0.10495844232810114</v>
      </c>
      <c r="M7" s="7">
        <f t="shared" si="3"/>
        <v>0.62989040759701365</v>
      </c>
    </row>
    <row r="8" spans="1:14" x14ac:dyDescent="0.25">
      <c r="A8" s="2">
        <v>4</v>
      </c>
      <c r="B8" s="97">
        <v>19</v>
      </c>
      <c r="C8" s="4">
        <v>4406</v>
      </c>
      <c r="D8" s="27">
        <v>5</v>
      </c>
      <c r="E8" s="6">
        <v>0</v>
      </c>
      <c r="F8" s="7">
        <f t="shared" si="0"/>
        <v>-805</v>
      </c>
      <c r="G8" s="7">
        <f t="shared" si="1"/>
        <v>-15.448090577624257</v>
      </c>
      <c r="H8" s="8">
        <v>16.69629885057471</v>
      </c>
      <c r="I8" s="9">
        <v>72628.899999999994</v>
      </c>
      <c r="J8" s="20">
        <v>5</v>
      </c>
      <c r="K8" s="11">
        <v>0</v>
      </c>
      <c r="L8" s="12">
        <f t="shared" si="2"/>
        <v>-7.1628429223071777E-2</v>
      </c>
      <c r="M8" s="7">
        <f t="shared" si="3"/>
        <v>-0.42717521389403118</v>
      </c>
    </row>
    <row r="9" spans="1:14" x14ac:dyDescent="0.25">
      <c r="A9" s="2">
        <v>5</v>
      </c>
      <c r="B9" s="97">
        <v>16</v>
      </c>
      <c r="C9" s="4">
        <v>4239</v>
      </c>
      <c r="D9" s="17">
        <v>6</v>
      </c>
      <c r="E9" s="6">
        <v>0</v>
      </c>
      <c r="F9" s="7">
        <f t="shared" si="0"/>
        <v>-167</v>
      </c>
      <c r="G9" s="7">
        <f t="shared" si="1"/>
        <v>-3.7902859736722654</v>
      </c>
      <c r="H9" s="8">
        <v>16.739641577060929</v>
      </c>
      <c r="I9" s="9">
        <v>70055.399999999994</v>
      </c>
      <c r="J9" s="22">
        <v>6</v>
      </c>
      <c r="K9" s="11">
        <v>0</v>
      </c>
      <c r="L9" s="12">
        <f t="shared" si="2"/>
        <v>4.3342726486219618E-2</v>
      </c>
      <c r="M9" s="7">
        <f t="shared" si="3"/>
        <v>0.25959481723536409</v>
      </c>
    </row>
    <row r="10" spans="1:14" x14ac:dyDescent="0.25">
      <c r="A10" s="2">
        <v>6</v>
      </c>
      <c r="B10" s="97">
        <v>14</v>
      </c>
      <c r="C10" s="4">
        <v>3613</v>
      </c>
      <c r="D10" s="21">
        <v>7</v>
      </c>
      <c r="E10" s="6">
        <v>0</v>
      </c>
      <c r="F10" s="7">
        <f t="shared" si="0"/>
        <v>-626</v>
      </c>
      <c r="G10" s="7">
        <f t="shared" si="1"/>
        <v>-14.767633875914129</v>
      </c>
      <c r="H10" s="8">
        <v>16.813802896904289</v>
      </c>
      <c r="I10" s="9">
        <v>59201.4</v>
      </c>
      <c r="J10" s="24">
        <v>7</v>
      </c>
      <c r="K10" s="11">
        <v>0</v>
      </c>
      <c r="L10" s="12">
        <f t="shared" si="2"/>
        <v>7.4161319843359053E-2</v>
      </c>
      <c r="M10" s="7">
        <f t="shared" si="3"/>
        <v>0.44302812280631859</v>
      </c>
    </row>
    <row r="11" spans="1:14" x14ac:dyDescent="0.25">
      <c r="A11" s="2">
        <v>7</v>
      </c>
      <c r="B11" s="97">
        <v>20</v>
      </c>
      <c r="C11" s="4">
        <v>3534</v>
      </c>
      <c r="D11" s="23">
        <v>8</v>
      </c>
      <c r="E11" s="6">
        <v>0</v>
      </c>
      <c r="F11" s="7">
        <f t="shared" si="0"/>
        <v>-79</v>
      </c>
      <c r="G11" s="7">
        <f t="shared" si="1"/>
        <v>-2.1865485745917521</v>
      </c>
      <c r="H11" s="8">
        <v>16.694981359334669</v>
      </c>
      <c r="I11" s="9">
        <v>58215.4</v>
      </c>
      <c r="J11" s="26">
        <v>8</v>
      </c>
      <c r="K11" s="11">
        <v>0</v>
      </c>
      <c r="L11" s="12">
        <f t="shared" si="2"/>
        <v>-0.11882153756961955</v>
      </c>
      <c r="M11" s="7">
        <f t="shared" si="3"/>
        <v>-0.70669043938594434</v>
      </c>
    </row>
    <row r="12" spans="1:14" x14ac:dyDescent="0.25">
      <c r="A12" s="2">
        <v>8</v>
      </c>
      <c r="B12" s="97">
        <v>15</v>
      </c>
      <c r="C12" s="4">
        <v>3216</v>
      </c>
      <c r="D12" s="25">
        <v>9</v>
      </c>
      <c r="E12" s="6">
        <v>0</v>
      </c>
      <c r="F12" s="7">
        <f t="shared" si="0"/>
        <v>-318</v>
      </c>
      <c r="G12" s="7">
        <f t="shared" si="1"/>
        <v>-8.998302207130731</v>
      </c>
      <c r="H12" s="8">
        <v>16.716813880126178</v>
      </c>
      <c r="I12" s="9">
        <v>52992.3</v>
      </c>
      <c r="J12" s="28">
        <v>9</v>
      </c>
      <c r="K12" s="11">
        <v>0</v>
      </c>
      <c r="L12" s="12">
        <f t="shared" si="2"/>
        <v>2.1832520791509324E-2</v>
      </c>
      <c r="M12" s="7">
        <f t="shared" si="3"/>
        <v>0.13077295698387889</v>
      </c>
    </row>
    <row r="13" spans="1:14" ht="18.75" x14ac:dyDescent="0.3">
      <c r="A13" s="2">
        <v>9</v>
      </c>
      <c r="B13" s="97">
        <v>11</v>
      </c>
      <c r="C13" s="29">
        <f>SUBTOTAL(9,C4:C12)</f>
        <v>42825</v>
      </c>
      <c r="D13" s="30">
        <v>10</v>
      </c>
      <c r="E13" s="31">
        <f>SUBTOTAL(9,E4:E12)</f>
        <v>0</v>
      </c>
      <c r="F13" s="32">
        <f>SUBTOTAL(9,F4:F12)</f>
        <v>-3560</v>
      </c>
      <c r="G13" s="32">
        <f>SUBTOTAL(9,G4:G12)</f>
        <v>-69.881799720273307</v>
      </c>
      <c r="H13" s="33">
        <f>SUBTOTAL(9,H4:H12)</f>
        <v>151.29040091262223</v>
      </c>
      <c r="I13" s="34">
        <f>SUBTOTAL(9,I4:I12)</f>
        <v>706571.3</v>
      </c>
      <c r="J13" s="35">
        <v>10</v>
      </c>
      <c r="K13" s="31">
        <f>SUBTOTAL(9,K4:K12)</f>
        <v>0</v>
      </c>
      <c r="L13" s="36">
        <f>SUBTOTAL(9,L4:L12)</f>
        <v>-0.38205514020089026</v>
      </c>
      <c r="M13" s="32">
        <f>SUBTOTAL(9,M4:M12)</f>
        <v>-2.2198377944833854</v>
      </c>
    </row>
  </sheetData>
  <autoFilter ref="A3:M12" xr:uid="{00000000-0009-0000-0000-000018000000}"/>
  <mergeCells count="1">
    <mergeCell ref="A1:N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1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163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161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97">
        <v>11</v>
      </c>
      <c r="C4" s="4">
        <v>2728</v>
      </c>
      <c r="D4" s="30">
        <v>10</v>
      </c>
      <c r="E4" s="6">
        <v>0</v>
      </c>
      <c r="F4" s="7" t="str">
        <f t="shared" ref="F4:F12" si="0">IF(ROW()=4,"",C4-C3)</f>
        <v/>
      </c>
      <c r="G4" s="7" t="str">
        <f t="shared" ref="G4:G12" si="1">IF(ROW()=4,"",(C4-C3)/C3*100)</f>
        <v/>
      </c>
      <c r="H4" s="8">
        <v>16.817290419161679</v>
      </c>
      <c r="I4" s="9">
        <v>44935.8</v>
      </c>
      <c r="J4" s="35">
        <v>10</v>
      </c>
      <c r="K4" s="11">
        <v>0</v>
      </c>
      <c r="L4" s="12" t="str">
        <f t="shared" ref="L4:L12" si="2">IF(ROW()=4,"",H4-H3)</f>
        <v/>
      </c>
      <c r="M4" s="7" t="str">
        <f t="shared" ref="M4:M12" si="3">IF(ROW()=4,"",(H4-H3)/H3*100)</f>
        <v/>
      </c>
    </row>
    <row r="5" spans="1:14" x14ac:dyDescent="0.25">
      <c r="A5" s="2">
        <v>1</v>
      </c>
      <c r="B5" s="97">
        <v>12</v>
      </c>
      <c r="C5" s="4">
        <v>6776</v>
      </c>
      <c r="D5" s="19">
        <v>1</v>
      </c>
      <c r="E5" s="6">
        <v>0</v>
      </c>
      <c r="F5" s="7">
        <f t="shared" si="0"/>
        <v>4048</v>
      </c>
      <c r="G5" s="7">
        <f t="shared" si="1"/>
        <v>148.38709677419354</v>
      </c>
      <c r="H5" s="8">
        <v>17.098869020327069</v>
      </c>
      <c r="I5" s="9">
        <v>111877.9</v>
      </c>
      <c r="J5" s="10">
        <v>1</v>
      </c>
      <c r="K5" s="11">
        <v>0</v>
      </c>
      <c r="L5" s="12">
        <f t="shared" si="2"/>
        <v>0.28157860116538913</v>
      </c>
      <c r="M5" s="7">
        <f t="shared" si="3"/>
        <v>1.6743398856010567</v>
      </c>
    </row>
    <row r="6" spans="1:14" x14ac:dyDescent="0.25">
      <c r="A6" s="2">
        <v>2</v>
      </c>
      <c r="B6" s="97">
        <v>13</v>
      </c>
      <c r="C6" s="4">
        <v>6413</v>
      </c>
      <c r="D6" s="5">
        <v>2</v>
      </c>
      <c r="E6" s="6">
        <v>0</v>
      </c>
      <c r="F6" s="7">
        <f t="shared" si="0"/>
        <v>-363</v>
      </c>
      <c r="G6" s="7">
        <f t="shared" si="1"/>
        <v>-5.3571428571428568</v>
      </c>
      <c r="H6" s="8">
        <v>17.099097211026919</v>
      </c>
      <c r="I6" s="9">
        <v>106065.7</v>
      </c>
      <c r="J6" s="14">
        <v>2</v>
      </c>
      <c r="K6" s="11">
        <v>0</v>
      </c>
      <c r="L6" s="12">
        <f t="shared" si="2"/>
        <v>2.2819069985047236E-4</v>
      </c>
      <c r="M6" s="7">
        <f t="shared" si="3"/>
        <v>1.3345368022832397E-3</v>
      </c>
    </row>
    <row r="7" spans="1:14" x14ac:dyDescent="0.25">
      <c r="A7" s="2">
        <v>3</v>
      </c>
      <c r="B7" s="97">
        <v>14</v>
      </c>
      <c r="C7" s="4">
        <v>3613</v>
      </c>
      <c r="D7" s="21">
        <v>7</v>
      </c>
      <c r="E7" s="6">
        <v>0</v>
      </c>
      <c r="F7" s="7">
        <f t="shared" si="0"/>
        <v>-2800</v>
      </c>
      <c r="G7" s="7">
        <f t="shared" si="1"/>
        <v>-43.661312958053955</v>
      </c>
      <c r="H7" s="8">
        <v>16.813802896904289</v>
      </c>
      <c r="I7" s="9">
        <v>59201.4</v>
      </c>
      <c r="J7" s="24">
        <v>7</v>
      </c>
      <c r="K7" s="11">
        <v>0</v>
      </c>
      <c r="L7" s="12">
        <f t="shared" si="2"/>
        <v>-0.28529431412263051</v>
      </c>
      <c r="M7" s="7">
        <f t="shared" si="3"/>
        <v>-1.6684758885319924</v>
      </c>
    </row>
    <row r="8" spans="1:14" x14ac:dyDescent="0.25">
      <c r="A8" s="2">
        <v>4</v>
      </c>
      <c r="B8" s="97">
        <v>15</v>
      </c>
      <c r="C8" s="4">
        <v>3216</v>
      </c>
      <c r="D8" s="25">
        <v>9</v>
      </c>
      <c r="E8" s="6">
        <v>0</v>
      </c>
      <c r="F8" s="7">
        <f t="shared" si="0"/>
        <v>-397</v>
      </c>
      <c r="G8" s="7">
        <f t="shared" si="1"/>
        <v>-10.988098533075007</v>
      </c>
      <c r="H8" s="8">
        <v>16.716813880126178</v>
      </c>
      <c r="I8" s="9">
        <v>52992.3</v>
      </c>
      <c r="J8" s="28">
        <v>9</v>
      </c>
      <c r="K8" s="11">
        <v>0</v>
      </c>
      <c r="L8" s="12">
        <f t="shared" si="2"/>
        <v>-9.6989016778110226E-2</v>
      </c>
      <c r="M8" s="7">
        <f t="shared" si="3"/>
        <v>-0.57684164238637281</v>
      </c>
    </row>
    <row r="9" spans="1:14" x14ac:dyDescent="0.25">
      <c r="A9" s="2">
        <v>5</v>
      </c>
      <c r="B9" s="97">
        <v>16</v>
      </c>
      <c r="C9" s="4">
        <v>4239</v>
      </c>
      <c r="D9" s="17">
        <v>6</v>
      </c>
      <c r="E9" s="6">
        <v>0</v>
      </c>
      <c r="F9" s="7">
        <f t="shared" si="0"/>
        <v>1023</v>
      </c>
      <c r="G9" s="7">
        <f t="shared" si="1"/>
        <v>31.809701492537311</v>
      </c>
      <c r="H9" s="8">
        <v>16.739641577060929</v>
      </c>
      <c r="I9" s="9">
        <v>70055.399999999994</v>
      </c>
      <c r="J9" s="22">
        <v>6</v>
      </c>
      <c r="K9" s="11">
        <v>0</v>
      </c>
      <c r="L9" s="12">
        <f t="shared" si="2"/>
        <v>2.2827696934751174E-2</v>
      </c>
      <c r="M9" s="7">
        <f t="shared" si="3"/>
        <v>0.13655530951319578</v>
      </c>
    </row>
    <row r="10" spans="1:14" x14ac:dyDescent="0.25">
      <c r="A10" s="2">
        <v>6</v>
      </c>
      <c r="B10" s="97">
        <v>17</v>
      </c>
      <c r="C10" s="4">
        <v>5211</v>
      </c>
      <c r="D10" s="15">
        <v>4</v>
      </c>
      <c r="E10" s="6">
        <v>0</v>
      </c>
      <c r="F10" s="7">
        <f t="shared" si="0"/>
        <v>972</v>
      </c>
      <c r="G10" s="7">
        <f t="shared" si="1"/>
        <v>22.929936305732486</v>
      </c>
      <c r="H10" s="8">
        <v>16.767927279797782</v>
      </c>
      <c r="I10" s="9">
        <v>86237.45</v>
      </c>
      <c r="J10" s="18">
        <v>4</v>
      </c>
      <c r="K10" s="11">
        <v>0</v>
      </c>
      <c r="L10" s="12">
        <f t="shared" si="2"/>
        <v>2.8285702736852159E-2</v>
      </c>
      <c r="M10" s="7">
        <f t="shared" si="3"/>
        <v>0.16897436308082789</v>
      </c>
    </row>
    <row r="11" spans="1:14" x14ac:dyDescent="0.25">
      <c r="A11" s="2">
        <v>7</v>
      </c>
      <c r="B11" s="97">
        <v>18</v>
      </c>
      <c r="C11" s="4">
        <v>5417</v>
      </c>
      <c r="D11" s="13">
        <v>3</v>
      </c>
      <c r="E11" s="6">
        <v>0</v>
      </c>
      <c r="F11" s="7">
        <f t="shared" si="0"/>
        <v>206</v>
      </c>
      <c r="G11" s="7">
        <f t="shared" si="1"/>
        <v>3.953175973901363</v>
      </c>
      <c r="H11" s="8">
        <v>16.66296883746968</v>
      </c>
      <c r="I11" s="9">
        <v>89296.85</v>
      </c>
      <c r="J11" s="16">
        <v>3</v>
      </c>
      <c r="K11" s="11">
        <v>0</v>
      </c>
      <c r="L11" s="12">
        <f t="shared" si="2"/>
        <v>-0.10495844232810114</v>
      </c>
      <c r="M11" s="7">
        <f t="shared" si="3"/>
        <v>-0.62594762355963007</v>
      </c>
    </row>
    <row r="12" spans="1:14" x14ac:dyDescent="0.25">
      <c r="A12" s="2">
        <v>8</v>
      </c>
      <c r="B12" s="97">
        <v>19</v>
      </c>
      <c r="C12" s="4">
        <v>4406</v>
      </c>
      <c r="D12" s="27">
        <v>5</v>
      </c>
      <c r="E12" s="6">
        <v>0</v>
      </c>
      <c r="F12" s="7">
        <f t="shared" si="0"/>
        <v>-1011</v>
      </c>
      <c r="G12" s="7">
        <f t="shared" si="1"/>
        <v>-18.663466863577625</v>
      </c>
      <c r="H12" s="8">
        <v>16.69629885057471</v>
      </c>
      <c r="I12" s="9">
        <v>72628.899999999994</v>
      </c>
      <c r="J12" s="20">
        <v>5</v>
      </c>
      <c r="K12" s="11">
        <v>0</v>
      </c>
      <c r="L12" s="12">
        <f t="shared" si="2"/>
        <v>3.3330013105029366E-2</v>
      </c>
      <c r="M12" s="7">
        <f t="shared" si="3"/>
        <v>0.200024458007032</v>
      </c>
    </row>
    <row r="13" spans="1:14" ht="18.75" x14ac:dyDescent="0.3">
      <c r="A13" s="2">
        <v>9</v>
      </c>
      <c r="B13" s="97">
        <v>20</v>
      </c>
      <c r="C13" s="29">
        <f>SUBTOTAL(9,C4:C12)</f>
        <v>42019</v>
      </c>
      <c r="D13" s="23">
        <v>8</v>
      </c>
      <c r="E13" s="31">
        <f>SUBTOTAL(9,E4:E12)</f>
        <v>0</v>
      </c>
      <c r="F13" s="32">
        <f>SUBTOTAL(9,F4:F12)</f>
        <v>1678</v>
      </c>
      <c r="G13" s="32">
        <f>SUBTOTAL(9,G4:G12)</f>
        <v>128.40988933451524</v>
      </c>
      <c r="H13" s="33">
        <f>SUBTOTAL(9,H4:H12)</f>
        <v>151.41270997244928</v>
      </c>
      <c r="I13" s="34">
        <f>SUBTOTAL(9,I4:I12)</f>
        <v>693291.7</v>
      </c>
      <c r="J13" s="26">
        <v>8</v>
      </c>
      <c r="K13" s="31">
        <f>SUBTOTAL(9,K4:K12)</f>
        <v>0</v>
      </c>
      <c r="L13" s="36">
        <f>SUBTOTAL(9,L4:L12)</f>
        <v>-0.12099156858696958</v>
      </c>
      <c r="M13" s="32">
        <f>SUBTOTAL(9,M4:M12)</f>
        <v>-0.69003660147359969</v>
      </c>
    </row>
  </sheetData>
  <autoFilter ref="A3:M12" xr:uid="{00000000-0009-0000-0000-000019000000}"/>
  <mergeCells count="1">
    <mergeCell ref="A1:N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172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164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98" t="s">
        <v>165</v>
      </c>
      <c r="C4" s="4">
        <v>8242</v>
      </c>
      <c r="D4" s="19">
        <v>1</v>
      </c>
      <c r="E4" s="6">
        <v>0</v>
      </c>
      <c r="F4" s="7" t="str">
        <f t="shared" ref="F4:F9" si="0">IF(ROW()=4,"",C4-C3)</f>
        <v/>
      </c>
      <c r="G4" s="7" t="str">
        <f t="shared" ref="G4:G9" si="1">IF(ROW()=4,"",(C4-C3)/C3*100)</f>
        <v/>
      </c>
      <c r="H4" s="8">
        <v>16.786812237848508</v>
      </c>
      <c r="I4" s="9">
        <v>136073.9</v>
      </c>
      <c r="J4" s="10">
        <v>1</v>
      </c>
      <c r="K4" s="11">
        <v>0</v>
      </c>
      <c r="L4" s="12" t="str">
        <f t="shared" ref="L4:L9" si="2">IF(ROW()=4,"",H4-H3)</f>
        <v/>
      </c>
      <c r="M4" s="7" t="str">
        <f t="shared" ref="M4:M9" si="3">IF(ROW()=4,"",(H4-H3)/H3*100)</f>
        <v/>
      </c>
    </row>
    <row r="5" spans="1:14" x14ac:dyDescent="0.25">
      <c r="A5" s="2">
        <v>1</v>
      </c>
      <c r="B5" s="98" t="s">
        <v>166</v>
      </c>
      <c r="C5" s="4">
        <v>7478</v>
      </c>
      <c r="D5" s="15">
        <v>3</v>
      </c>
      <c r="E5" s="6">
        <v>0</v>
      </c>
      <c r="F5" s="7">
        <f t="shared" si="0"/>
        <v>-764</v>
      </c>
      <c r="G5" s="7">
        <f t="shared" si="1"/>
        <v>-9.2695947585537493</v>
      </c>
      <c r="H5" s="8">
        <v>16.868564795848691</v>
      </c>
      <c r="I5" s="9">
        <v>123528.5</v>
      </c>
      <c r="J5" s="99">
        <v>2</v>
      </c>
      <c r="K5" s="11">
        <v>0</v>
      </c>
      <c r="L5" s="12">
        <f t="shared" si="2"/>
        <v>8.1752558000182773E-2</v>
      </c>
      <c r="M5" s="7">
        <f t="shared" si="3"/>
        <v>0.48700466081260368</v>
      </c>
    </row>
    <row r="6" spans="1:14" x14ac:dyDescent="0.25">
      <c r="A6" s="2">
        <v>2</v>
      </c>
      <c r="B6" s="98" t="s">
        <v>167</v>
      </c>
      <c r="C6" s="4">
        <v>7493</v>
      </c>
      <c r="D6" s="49">
        <v>2</v>
      </c>
      <c r="E6" s="6">
        <v>0</v>
      </c>
      <c r="F6" s="7">
        <f t="shared" si="0"/>
        <v>15</v>
      </c>
      <c r="G6" s="7">
        <f t="shared" si="1"/>
        <v>0.20058839261834716</v>
      </c>
      <c r="H6" s="8">
        <v>16.748116927260369</v>
      </c>
      <c r="I6" s="9">
        <v>123182.39999999999</v>
      </c>
      <c r="J6" s="18">
        <v>3</v>
      </c>
      <c r="K6" s="11">
        <v>0</v>
      </c>
      <c r="L6" s="12">
        <f t="shared" si="2"/>
        <v>-0.12044786858832168</v>
      </c>
      <c r="M6" s="7">
        <f t="shared" si="3"/>
        <v>-0.71403744210629927</v>
      </c>
    </row>
    <row r="7" spans="1:14" x14ac:dyDescent="0.25">
      <c r="A7" s="2">
        <v>3</v>
      </c>
      <c r="B7" s="98" t="s">
        <v>168</v>
      </c>
      <c r="C7" s="4">
        <v>6946</v>
      </c>
      <c r="D7" s="43">
        <v>4</v>
      </c>
      <c r="E7" s="6">
        <v>0</v>
      </c>
      <c r="F7" s="7">
        <f t="shared" si="0"/>
        <v>-547</v>
      </c>
      <c r="G7" s="7">
        <f t="shared" si="1"/>
        <v>-7.3001468036834378</v>
      </c>
      <c r="H7" s="8">
        <v>16.832190672355448</v>
      </c>
      <c r="I7" s="9">
        <v>114408.4</v>
      </c>
      <c r="J7" s="44">
        <v>4</v>
      </c>
      <c r="K7" s="11">
        <v>0</v>
      </c>
      <c r="L7" s="12">
        <f t="shared" si="2"/>
        <v>8.4073745095079033E-2</v>
      </c>
      <c r="M7" s="7">
        <f t="shared" si="3"/>
        <v>0.5019892412993302</v>
      </c>
    </row>
    <row r="8" spans="1:14" x14ac:dyDescent="0.25">
      <c r="A8" s="2">
        <v>4</v>
      </c>
      <c r="B8" s="98" t="s">
        <v>169</v>
      </c>
      <c r="C8" s="4">
        <v>6895</v>
      </c>
      <c r="D8" s="21">
        <v>5</v>
      </c>
      <c r="E8" s="6">
        <v>0</v>
      </c>
      <c r="F8" s="7">
        <f t="shared" si="0"/>
        <v>-51</v>
      </c>
      <c r="G8" s="7">
        <f t="shared" si="1"/>
        <v>-0.73423553124100194</v>
      </c>
      <c r="H8" s="8">
        <v>16.901199466903599</v>
      </c>
      <c r="I8" s="9">
        <v>114133.8</v>
      </c>
      <c r="J8" s="24">
        <v>5</v>
      </c>
      <c r="K8" s="11">
        <v>0</v>
      </c>
      <c r="L8" s="12">
        <f t="shared" si="2"/>
        <v>6.9008794548150121E-2</v>
      </c>
      <c r="M8" s="7">
        <f t="shared" si="3"/>
        <v>0.40998106480273866</v>
      </c>
    </row>
    <row r="9" spans="1:14" x14ac:dyDescent="0.25">
      <c r="A9" s="2">
        <v>5</v>
      </c>
      <c r="B9" s="98" t="s">
        <v>170</v>
      </c>
      <c r="C9" s="4">
        <v>6485</v>
      </c>
      <c r="D9" s="50">
        <v>6</v>
      </c>
      <c r="E9" s="6">
        <v>0</v>
      </c>
      <c r="F9" s="7">
        <f t="shared" si="0"/>
        <v>-410</v>
      </c>
      <c r="G9" s="7">
        <f t="shared" si="1"/>
        <v>-5.9463379260333582</v>
      </c>
      <c r="H9" s="8">
        <v>16.851868425184492</v>
      </c>
      <c r="I9" s="9">
        <v>107329.55</v>
      </c>
      <c r="J9" s="100">
        <v>6</v>
      </c>
      <c r="K9" s="11">
        <v>0</v>
      </c>
      <c r="L9" s="12">
        <f t="shared" si="2"/>
        <v>-4.933104171910685E-2</v>
      </c>
      <c r="M9" s="7">
        <f t="shared" si="3"/>
        <v>-0.29187893921794295</v>
      </c>
    </row>
    <row r="10" spans="1:14" ht="18.75" x14ac:dyDescent="0.3">
      <c r="A10" s="2">
        <v>6</v>
      </c>
      <c r="B10" s="98" t="s">
        <v>171</v>
      </c>
      <c r="C10" s="29">
        <f>SUBTOTAL(9,C4:C9)</f>
        <v>43539</v>
      </c>
      <c r="D10" s="30">
        <v>7</v>
      </c>
      <c r="E10" s="31">
        <f>SUBTOTAL(9,E4:E9)</f>
        <v>0</v>
      </c>
      <c r="F10" s="32">
        <f>SUBTOTAL(9,F4:F9)</f>
        <v>-1757</v>
      </c>
      <c r="G10" s="32">
        <f>SUBTOTAL(9,G4:G9)</f>
        <v>-23.0497266268932</v>
      </c>
      <c r="H10" s="33">
        <f>SUBTOTAL(9,H4:H9)</f>
        <v>100.9887525254011</v>
      </c>
      <c r="I10" s="34">
        <f>SUBTOTAL(9,I4:I9)</f>
        <v>718656.55</v>
      </c>
      <c r="J10" s="35">
        <v>7</v>
      </c>
      <c r="K10" s="31">
        <f>SUBTOTAL(9,K4:K9)</f>
        <v>0</v>
      </c>
      <c r="L10" s="36">
        <f>SUBTOTAL(9,L4:L9)</f>
        <v>6.5056187335983395E-2</v>
      </c>
      <c r="M10" s="32">
        <f>SUBTOTAL(9,M4:M9)</f>
        <v>0.39305858559043039</v>
      </c>
    </row>
  </sheetData>
  <autoFilter ref="A3:M9" xr:uid="{00000000-0009-0000-0000-00001A000000}"/>
  <mergeCells count="1">
    <mergeCell ref="A1:N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N1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4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186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173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101" t="s">
        <v>174</v>
      </c>
      <c r="C4" s="4">
        <v>4232</v>
      </c>
      <c r="D4" s="102">
        <v>5</v>
      </c>
      <c r="E4" s="6">
        <v>0</v>
      </c>
      <c r="F4" s="7" t="str">
        <f t="shared" ref="F4:F14" si="0">IF(ROW()=4,"",C4-C3)</f>
        <v/>
      </c>
      <c r="G4" s="7" t="str">
        <f t="shared" ref="G4:G14" si="1">IF(ROW()=4,"",(C4-C3)/C3*100)</f>
        <v/>
      </c>
      <c r="H4" s="8">
        <v>16.793383060635229</v>
      </c>
      <c r="I4" s="9">
        <v>69793.3</v>
      </c>
      <c r="J4" s="103">
        <v>5</v>
      </c>
      <c r="K4" s="11">
        <v>0</v>
      </c>
      <c r="L4" s="12" t="str">
        <f t="shared" ref="L4:L14" si="2">IF(ROW()=4,"",H4-H3)</f>
        <v/>
      </c>
      <c r="M4" s="7" t="str">
        <f t="shared" ref="M4:M14" si="3">IF(ROW()=4,"",(H4-H3)/H3*100)</f>
        <v/>
      </c>
    </row>
    <row r="5" spans="1:14" x14ac:dyDescent="0.25">
      <c r="A5" s="2">
        <v>1</v>
      </c>
      <c r="B5" s="101" t="s">
        <v>175</v>
      </c>
      <c r="C5" s="4">
        <v>3961</v>
      </c>
      <c r="D5" s="104">
        <v>9</v>
      </c>
      <c r="E5" s="6">
        <v>0</v>
      </c>
      <c r="F5" s="7">
        <f t="shared" si="0"/>
        <v>-271</v>
      </c>
      <c r="G5" s="7">
        <f t="shared" si="1"/>
        <v>-6.4035916824196599</v>
      </c>
      <c r="H5" s="8">
        <v>16.741932168550871</v>
      </c>
      <c r="I5" s="9">
        <v>65159.6</v>
      </c>
      <c r="J5" s="105">
        <v>9</v>
      </c>
      <c r="K5" s="11">
        <v>0</v>
      </c>
      <c r="L5" s="12">
        <f t="shared" si="2"/>
        <v>-5.1450892084357491E-2</v>
      </c>
      <c r="M5" s="7">
        <f t="shared" si="3"/>
        <v>-0.30637598093597768</v>
      </c>
    </row>
    <row r="6" spans="1:14" x14ac:dyDescent="0.25">
      <c r="A6" s="2">
        <v>2</v>
      </c>
      <c r="B6" s="101" t="s">
        <v>176</v>
      </c>
      <c r="C6" s="4">
        <v>4261</v>
      </c>
      <c r="D6" s="106">
        <v>4</v>
      </c>
      <c r="E6" s="6">
        <v>0</v>
      </c>
      <c r="F6" s="7">
        <f t="shared" si="0"/>
        <v>300</v>
      </c>
      <c r="G6" s="7">
        <f t="shared" si="1"/>
        <v>7.5738449886392321</v>
      </c>
      <c r="H6" s="8">
        <v>16.817271858576209</v>
      </c>
      <c r="I6" s="9">
        <v>70397.100000000006</v>
      </c>
      <c r="J6" s="107">
        <v>3</v>
      </c>
      <c r="K6" s="11">
        <v>0</v>
      </c>
      <c r="L6" s="12">
        <f t="shared" si="2"/>
        <v>7.5339690025337802E-2</v>
      </c>
      <c r="M6" s="7">
        <f t="shared" si="3"/>
        <v>0.45000594475505495</v>
      </c>
    </row>
    <row r="7" spans="1:14" x14ac:dyDescent="0.25">
      <c r="A7" s="2">
        <v>3</v>
      </c>
      <c r="B7" s="101" t="s">
        <v>177</v>
      </c>
      <c r="C7" s="4">
        <v>4151</v>
      </c>
      <c r="D7" s="108">
        <v>7</v>
      </c>
      <c r="E7" s="6">
        <v>0</v>
      </c>
      <c r="F7" s="7">
        <f t="shared" si="0"/>
        <v>-110</v>
      </c>
      <c r="G7" s="7">
        <f t="shared" si="1"/>
        <v>-2.581553625909411</v>
      </c>
      <c r="H7" s="8">
        <v>16.901106466683061</v>
      </c>
      <c r="I7" s="9">
        <v>68736.800000000003</v>
      </c>
      <c r="J7" s="109">
        <v>6</v>
      </c>
      <c r="K7" s="11">
        <v>0</v>
      </c>
      <c r="L7" s="12">
        <f t="shared" si="2"/>
        <v>8.3834608106851505E-2</v>
      </c>
      <c r="M7" s="7">
        <f t="shared" si="3"/>
        <v>0.49850302006088365</v>
      </c>
    </row>
    <row r="8" spans="1:14" x14ac:dyDescent="0.25">
      <c r="A8" s="2">
        <v>4</v>
      </c>
      <c r="B8" s="101" t="s">
        <v>178</v>
      </c>
      <c r="C8" s="4">
        <v>4328</v>
      </c>
      <c r="D8" s="110">
        <v>2</v>
      </c>
      <c r="E8" s="6">
        <v>0</v>
      </c>
      <c r="F8" s="7">
        <f t="shared" si="0"/>
        <v>177</v>
      </c>
      <c r="G8" s="7">
        <f t="shared" si="1"/>
        <v>4.2640327631895927</v>
      </c>
      <c r="H8" s="8">
        <v>16.844243925454119</v>
      </c>
      <c r="I8" s="9">
        <v>71402.75</v>
      </c>
      <c r="J8" s="111">
        <v>2</v>
      </c>
      <c r="K8" s="11">
        <v>0</v>
      </c>
      <c r="L8" s="12">
        <f t="shared" si="2"/>
        <v>-5.686254122894141E-2</v>
      </c>
      <c r="M8" s="7">
        <f t="shared" si="3"/>
        <v>-0.33644271362371347</v>
      </c>
    </row>
    <row r="9" spans="1:14" x14ac:dyDescent="0.25">
      <c r="A9" s="2">
        <v>5</v>
      </c>
      <c r="B9" s="101" t="s">
        <v>179</v>
      </c>
      <c r="C9" s="4">
        <v>4107</v>
      </c>
      <c r="D9" s="112">
        <v>8</v>
      </c>
      <c r="E9" s="6">
        <v>0</v>
      </c>
      <c r="F9" s="7">
        <f t="shared" si="0"/>
        <v>-221</v>
      </c>
      <c r="G9" s="7">
        <f t="shared" si="1"/>
        <v>-5.1062846580406651</v>
      </c>
      <c r="H9" s="8">
        <v>16.951602484472051</v>
      </c>
      <c r="I9" s="9">
        <v>68230.2</v>
      </c>
      <c r="J9" s="113">
        <v>8</v>
      </c>
      <c r="K9" s="11">
        <v>0</v>
      </c>
      <c r="L9" s="12">
        <f t="shared" si="2"/>
        <v>0.10735855901793201</v>
      </c>
      <c r="M9" s="7">
        <f t="shared" si="3"/>
        <v>0.63736051017224649</v>
      </c>
    </row>
    <row r="10" spans="1:14" x14ac:dyDescent="0.25">
      <c r="A10" s="2">
        <v>6</v>
      </c>
      <c r="B10" s="101" t="s">
        <v>180</v>
      </c>
      <c r="C10" s="4">
        <v>4392</v>
      </c>
      <c r="D10" s="19">
        <v>1</v>
      </c>
      <c r="E10" s="6">
        <v>0</v>
      </c>
      <c r="F10" s="7">
        <f t="shared" si="0"/>
        <v>285</v>
      </c>
      <c r="G10" s="7">
        <f t="shared" si="1"/>
        <v>6.9393718042366688</v>
      </c>
      <c r="H10" s="8">
        <v>16.87000697512206</v>
      </c>
      <c r="I10" s="9">
        <v>72557.899999999994</v>
      </c>
      <c r="J10" s="10">
        <v>1</v>
      </c>
      <c r="K10" s="11">
        <v>0</v>
      </c>
      <c r="L10" s="12">
        <f t="shared" si="2"/>
        <v>-8.1595509349991602E-2</v>
      </c>
      <c r="M10" s="7">
        <f t="shared" si="3"/>
        <v>-0.48134392854442198</v>
      </c>
    </row>
    <row r="11" spans="1:14" x14ac:dyDescent="0.25">
      <c r="A11" s="2">
        <v>7</v>
      </c>
      <c r="B11" s="101" t="s">
        <v>181</v>
      </c>
      <c r="C11" s="4">
        <v>4168</v>
      </c>
      <c r="D11" s="114">
        <v>6</v>
      </c>
      <c r="E11" s="6">
        <v>0</v>
      </c>
      <c r="F11" s="7">
        <f t="shared" si="0"/>
        <v>-224</v>
      </c>
      <c r="G11" s="7">
        <f t="shared" si="1"/>
        <v>-5.1001821493624773</v>
      </c>
      <c r="H11" s="8">
        <v>16.677638006839281</v>
      </c>
      <c r="I11" s="9">
        <v>68278.25</v>
      </c>
      <c r="J11" s="115">
        <v>7</v>
      </c>
      <c r="K11" s="11">
        <v>0</v>
      </c>
      <c r="L11" s="12">
        <f t="shared" si="2"/>
        <v>-0.1923689682827785</v>
      </c>
      <c r="M11" s="7">
        <f t="shared" si="3"/>
        <v>-1.1403016523138494</v>
      </c>
    </row>
    <row r="12" spans="1:14" x14ac:dyDescent="0.25">
      <c r="A12" s="2">
        <v>8</v>
      </c>
      <c r="B12" s="101" t="s">
        <v>182</v>
      </c>
      <c r="C12" s="4">
        <v>3890</v>
      </c>
      <c r="D12" s="116">
        <v>11</v>
      </c>
      <c r="E12" s="6">
        <v>0</v>
      </c>
      <c r="F12" s="7">
        <f t="shared" si="0"/>
        <v>-278</v>
      </c>
      <c r="G12" s="7">
        <f t="shared" si="1"/>
        <v>-6.6698656429942424</v>
      </c>
      <c r="H12" s="8">
        <v>16.80545954438335</v>
      </c>
      <c r="I12" s="9">
        <v>64180.05</v>
      </c>
      <c r="J12" s="117">
        <v>11</v>
      </c>
      <c r="K12" s="11">
        <v>0</v>
      </c>
      <c r="L12" s="12">
        <f t="shared" si="2"/>
        <v>0.12782153754406878</v>
      </c>
      <c r="M12" s="7">
        <f t="shared" si="3"/>
        <v>0.76642470289648235</v>
      </c>
    </row>
    <row r="13" spans="1:14" x14ac:dyDescent="0.25">
      <c r="A13" s="2">
        <v>9</v>
      </c>
      <c r="B13" s="101" t="s">
        <v>183</v>
      </c>
      <c r="C13" s="4">
        <v>3883</v>
      </c>
      <c r="D13" s="30">
        <v>12</v>
      </c>
      <c r="E13" s="6">
        <v>0</v>
      </c>
      <c r="F13" s="7">
        <f t="shared" si="0"/>
        <v>-7</v>
      </c>
      <c r="G13" s="7">
        <f t="shared" si="1"/>
        <v>-0.17994858611825193</v>
      </c>
      <c r="H13" s="8">
        <v>16.86268106399789</v>
      </c>
      <c r="I13" s="9">
        <v>64027.6</v>
      </c>
      <c r="J13" s="35">
        <v>12</v>
      </c>
      <c r="K13" s="11">
        <v>0</v>
      </c>
      <c r="L13" s="12">
        <f t="shared" si="2"/>
        <v>5.7221519614540028E-2</v>
      </c>
      <c r="M13" s="7">
        <f t="shared" si="3"/>
        <v>0.34049363222360896</v>
      </c>
    </row>
    <row r="14" spans="1:14" x14ac:dyDescent="0.25">
      <c r="A14" s="2">
        <v>10</v>
      </c>
      <c r="B14" s="101" t="s">
        <v>184</v>
      </c>
      <c r="C14" s="4">
        <v>4266</v>
      </c>
      <c r="D14" s="118">
        <v>3</v>
      </c>
      <c r="E14" s="6">
        <v>0</v>
      </c>
      <c r="F14" s="7">
        <f t="shared" si="0"/>
        <v>383</v>
      </c>
      <c r="G14" s="7">
        <f t="shared" si="1"/>
        <v>9.8635075972186463</v>
      </c>
      <c r="H14" s="8">
        <v>16.82087216248507</v>
      </c>
      <c r="I14" s="9">
        <v>70395.350000000006</v>
      </c>
      <c r="J14" s="119">
        <v>4</v>
      </c>
      <c r="K14" s="11">
        <v>0</v>
      </c>
      <c r="L14" s="12">
        <f t="shared" si="2"/>
        <v>-4.1808901512819574E-2</v>
      </c>
      <c r="M14" s="7">
        <f t="shared" si="3"/>
        <v>-0.24793745048100499</v>
      </c>
    </row>
    <row r="15" spans="1:14" ht="18.75" x14ac:dyDescent="0.3">
      <c r="A15" s="2">
        <v>11</v>
      </c>
      <c r="B15" s="101" t="s">
        <v>185</v>
      </c>
      <c r="C15" s="29">
        <f>SUBTOTAL(9,C4:C14)</f>
        <v>45639</v>
      </c>
      <c r="D15" s="120">
        <v>10</v>
      </c>
      <c r="E15" s="31">
        <f>SUBTOTAL(9,E4:E14)</f>
        <v>0</v>
      </c>
      <c r="F15" s="32">
        <f>SUBTOTAL(9,F4:F14)</f>
        <v>34</v>
      </c>
      <c r="G15" s="32">
        <f>SUBTOTAL(9,G4:G14)</f>
        <v>2.599330808439432</v>
      </c>
      <c r="H15" s="33">
        <f>SUBTOTAL(9,H4:H14)</f>
        <v>185.08619771719918</v>
      </c>
      <c r="I15" s="34">
        <f>SUBTOTAL(9,I4:I14)</f>
        <v>753158.9</v>
      </c>
      <c r="J15" s="121">
        <v>10</v>
      </c>
      <c r="K15" s="31">
        <f>SUBTOTAL(9,K4:K14)</f>
        <v>0</v>
      </c>
      <c r="L15" s="36">
        <f>SUBTOTAL(9,L4:L14)</f>
        <v>2.7489101849841546E-2</v>
      </c>
      <c r="M15" s="32">
        <f>SUBTOTAL(9,M4:M14)</f>
        <v>0.18038608420930893</v>
      </c>
    </row>
  </sheetData>
  <autoFilter ref="A3:M14" xr:uid="{00000000-0009-0000-0000-00001B000000}"/>
  <mergeCells count="1">
    <mergeCell ref="A1:N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N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192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187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122" t="s">
        <v>188</v>
      </c>
      <c r="C4" s="4">
        <v>12454</v>
      </c>
      <c r="D4" s="15">
        <v>2</v>
      </c>
      <c r="E4" s="6">
        <v>0</v>
      </c>
      <c r="F4" s="7" t="str">
        <f>IF(ROW()=4,"",C4-C3)</f>
        <v/>
      </c>
      <c r="G4" s="7" t="str">
        <f>IF(ROW()=4,"",(C4-C3)/C3*100)</f>
        <v/>
      </c>
      <c r="H4" s="8">
        <v>16.785188818048059</v>
      </c>
      <c r="I4" s="9">
        <v>205350</v>
      </c>
      <c r="J4" s="18">
        <v>2</v>
      </c>
      <c r="K4" s="11">
        <v>0</v>
      </c>
      <c r="L4" s="12" t="str">
        <f>IF(ROW()=4,"",H4-H3)</f>
        <v/>
      </c>
      <c r="M4" s="7" t="str">
        <f>IF(ROW()=4,"",(H4-H3)/H3*100)</f>
        <v/>
      </c>
    </row>
    <row r="5" spans="1:14" x14ac:dyDescent="0.25">
      <c r="A5" s="2">
        <v>1</v>
      </c>
      <c r="B5" s="122" t="s">
        <v>189</v>
      </c>
      <c r="C5" s="4">
        <v>12586</v>
      </c>
      <c r="D5" s="19">
        <v>1</v>
      </c>
      <c r="E5" s="6">
        <v>0</v>
      </c>
      <c r="F5" s="7">
        <f>IF(ROW()=4,"",C5-C4)</f>
        <v>132</v>
      </c>
      <c r="G5" s="7">
        <f>IF(ROW()=4,"",(C5-C4)/C4*100)</f>
        <v>1.0599004335956319</v>
      </c>
      <c r="H5" s="8">
        <v>16.89804152136891</v>
      </c>
      <c r="I5" s="9">
        <v>208369.75</v>
      </c>
      <c r="J5" s="10">
        <v>1</v>
      </c>
      <c r="K5" s="11">
        <v>0</v>
      </c>
      <c r="L5" s="12">
        <f>IF(ROW()=4,"",H5-H4)</f>
        <v>0.11285270332085062</v>
      </c>
      <c r="M5" s="7">
        <f>IF(ROW()=4,"",(H5-H4)/H4*100)</f>
        <v>0.67233502431326364</v>
      </c>
    </row>
    <row r="6" spans="1:14" x14ac:dyDescent="0.25">
      <c r="A6" s="2">
        <v>2</v>
      </c>
      <c r="B6" s="122" t="s">
        <v>190</v>
      </c>
      <c r="C6" s="4">
        <v>12450</v>
      </c>
      <c r="D6" s="21">
        <v>3</v>
      </c>
      <c r="E6" s="6">
        <v>0</v>
      </c>
      <c r="F6" s="7">
        <f>IF(ROW()=4,"",C6-C5)</f>
        <v>-136</v>
      </c>
      <c r="G6" s="7">
        <f>IF(ROW()=4,"",(C6-C5)/C5*100)</f>
        <v>-1.0805657079294455</v>
      </c>
      <c r="H6" s="8">
        <v>16.785344686425411</v>
      </c>
      <c r="I6" s="9">
        <v>205016.2</v>
      </c>
      <c r="J6" s="24">
        <v>3</v>
      </c>
      <c r="K6" s="11">
        <v>0</v>
      </c>
      <c r="L6" s="12">
        <f>IF(ROW()=4,"",H6-H5)</f>
        <v>-0.11269683494349891</v>
      </c>
      <c r="M6" s="7">
        <f>IF(ROW()=4,"",(H6-H5)/H5*100)</f>
        <v>-0.66692246436360603</v>
      </c>
    </row>
    <row r="7" spans="1:14" ht="18.75" x14ac:dyDescent="0.3">
      <c r="A7" s="2">
        <v>3</v>
      </c>
      <c r="B7" s="122" t="s">
        <v>191</v>
      </c>
      <c r="C7" s="29">
        <f>SUBTOTAL(9,C4:C6)</f>
        <v>37490</v>
      </c>
      <c r="D7" s="30">
        <v>4</v>
      </c>
      <c r="E7" s="31">
        <f>SUBTOTAL(9,E4:E6)</f>
        <v>0</v>
      </c>
      <c r="F7" s="32">
        <f>SUBTOTAL(9,F4:F6)</f>
        <v>-4</v>
      </c>
      <c r="G7" s="32">
        <f>SUBTOTAL(9,G4:G6)</f>
        <v>-2.0665274333813599E-2</v>
      </c>
      <c r="H7" s="33">
        <f>SUBTOTAL(9,H4:H6)</f>
        <v>50.468575025842377</v>
      </c>
      <c r="I7" s="34">
        <f>SUBTOTAL(9,I4:I6)</f>
        <v>618735.94999999995</v>
      </c>
      <c r="J7" s="35">
        <v>4</v>
      </c>
      <c r="K7" s="31">
        <f>SUBTOTAL(9,K4:K6)</f>
        <v>0</v>
      </c>
      <c r="L7" s="36">
        <f>SUBTOTAL(9,L4:L6)</f>
        <v>1.5586837735170889E-4</v>
      </c>
      <c r="M7" s="32">
        <f>SUBTOTAL(9,M4:M6)</f>
        <v>5.4125599496576138E-3</v>
      </c>
    </row>
  </sheetData>
  <autoFilter ref="A3:M6" xr:uid="{00000000-0009-0000-0000-00001C000000}"/>
  <mergeCells count="1">
    <mergeCell ref="A1:N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N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124" t="s">
        <v>195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</row>
    <row r="3" spans="1:14" s="1" customFormat="1" x14ac:dyDescent="0.25">
      <c r="B3" s="2" t="s">
        <v>193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ht="18.75" x14ac:dyDescent="0.3">
      <c r="A4" s="2">
        <v>0</v>
      </c>
      <c r="B4" s="123" t="s">
        <v>194</v>
      </c>
      <c r="C4" s="29">
        <f ca="1">SUBTOTAL(9,C3:C4)</f>
        <v>0</v>
      </c>
      <c r="D4" s="19">
        <v>1</v>
      </c>
      <c r="E4" s="31">
        <f ca="1">SUBTOTAL(9,E3:E4)</f>
        <v>0</v>
      </c>
      <c r="F4" s="32">
        <f ca="1">SUBTOTAL(9,F3:F4)</f>
        <v>0</v>
      </c>
      <c r="G4" s="32">
        <f ca="1">SUBTOTAL(9,G3:G4)</f>
        <v>0</v>
      </c>
      <c r="H4" s="33">
        <f ca="1">SUBTOTAL(9,H3:H4)</f>
        <v>0</v>
      </c>
      <c r="I4" s="34">
        <f ca="1">SUBTOTAL(9,I3:I4)</f>
        <v>0</v>
      </c>
      <c r="J4" s="10">
        <v>1</v>
      </c>
      <c r="K4" s="31">
        <f ca="1">SUBTOTAL(9,K3:K4)</f>
        <v>0</v>
      </c>
      <c r="L4" s="36">
        <f ca="1">SUBTOTAL(9,L3:L4)</f>
        <v>0</v>
      </c>
      <c r="M4" s="32">
        <f ca="1">SUBTOTAL(9,M3:M4)</f>
        <v>0</v>
      </c>
    </row>
  </sheetData>
  <autoFilter ref="A3:M3" xr:uid="{00000000-0009-0000-0000-00001D000000}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Top 10 Pizza IDs (T S)</vt:lpstr>
      <vt:lpstr>Top 10 Pizza IDs (C)</vt:lpstr>
      <vt:lpstr>Bottom 10 Pizza IDs (T S)</vt:lpstr>
      <vt:lpstr>Bottom 10 Pizza IDs (C)</vt:lpstr>
      <vt:lpstr>Top 10 Pizza Type IDs (T S)</vt:lpstr>
      <vt:lpstr>Top 10 Pizza Type IDs (C)</vt:lpstr>
      <vt:lpstr>Bottom 10 Pizza Type IDs (T S)</vt:lpstr>
      <vt:lpstr>Bottom 10 Pizza Type IDs (C)</vt:lpstr>
      <vt:lpstr>Top 10 Names (T S)</vt:lpstr>
      <vt:lpstr>Top 10 Names (C)</vt:lpstr>
      <vt:lpstr>Bottom 10 Names (T S)</vt:lpstr>
      <vt:lpstr>Bottom 10 Names (C)</vt:lpstr>
      <vt:lpstr>Top Categories (T S)</vt:lpstr>
      <vt:lpstr>Top Sizes (T S)</vt:lpstr>
      <vt:lpstr>Top 10 Dates (T S)</vt:lpstr>
      <vt:lpstr>Top 10 Dates (T S (D A))</vt:lpstr>
      <vt:lpstr>Top 10 Dates (C)</vt:lpstr>
      <vt:lpstr>Top 10 Dates (C (D A))</vt:lpstr>
      <vt:lpstr>Top 10 Order Times (T S)</vt:lpstr>
      <vt:lpstr>Top 10 Order Times (T S (T A))</vt:lpstr>
      <vt:lpstr>Top 10 Order Times (C)</vt:lpstr>
      <vt:lpstr>Top 10 Order Times (C (T A))</vt:lpstr>
      <vt:lpstr>Top 10 Order Hours (T S)</vt:lpstr>
      <vt:lpstr>Top 10 Order Hours (T S (H A))</vt:lpstr>
      <vt:lpstr>Top 10 Order Hours (C)</vt:lpstr>
      <vt:lpstr>Top 10 Order Hours (C (H A))</vt:lpstr>
      <vt:lpstr>Top Days</vt:lpstr>
      <vt:lpstr>Top Months</vt:lpstr>
      <vt:lpstr>Top Quarters</vt:lpstr>
      <vt:lpstr>Top 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Vernyuy YM</dc:creator>
  <cp:lastModifiedBy>Vernyuy YM</cp:lastModifiedBy>
  <dcterms:created xsi:type="dcterms:W3CDTF">2025-12-04T13:43:44Z</dcterms:created>
  <dcterms:modified xsi:type="dcterms:W3CDTF">2025-12-04T13:44:13Z</dcterms:modified>
</cp:coreProperties>
</file>